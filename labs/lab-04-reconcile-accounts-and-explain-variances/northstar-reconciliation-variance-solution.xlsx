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Ledger" sheetId="2" r:id="rId2"/>
    <sheet name="Bank" sheetId="3" r:id="rId3"/>
    <sheet name="Reconciliation" sheetId="4" r:id="rId4"/>
    <sheet name="Summary" sheetId="5" r:id="rId5"/>
    <sheet name="Variance Data" sheetId="6" r:id="rId6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<sst xmlns="http://schemas.openxmlformats.org/spreadsheetml/2006/main" count="551" uniqueCount="184">
  <si>
    <t>Lab 4: Reconcile Accounts and Explain Variances</t>
  </si>
  <si>
    <t>Course</t>
  </si>
  <si>
    <t>Generative AI for Finance and Fintech (TGS-2026065050)</t>
  </si>
  <si>
    <t>TSC mapping</t>
  </si>
  <si>
    <t>K1 · A2</t>
  </si>
  <si>
    <t>Objective</t>
  </si>
  <si>
    <t>Apply deterministic matching and Finance Agent-style variance analysis to a month-end close.</t>
  </si>
  <si>
    <t>Scenario</t>
  </si>
  <si>
    <t>The controller must reconcile ERP and bank/ledger extracts and explain material monthly movements.</t>
  </si>
  <si>
    <t>Expected output</t>
  </si>
  <si>
    <t>A reconciliation report, exception queue and evidence-backed variance narrative.</t>
  </si>
  <si>
    <t>Data notice</t>
  </si>
  <si>
    <t>All names, accounts, transactions and scores are synthetic. Do not replace them with live personal or customer data.</t>
  </si>
  <si>
    <t>Acceptance</t>
  </si>
  <si>
    <t>Matched plus exception values reconcile to each source; all unresolved items have a reason and owner; the narrative cites actual values and materiality thresholds.</t>
  </si>
  <si>
    <t>Reference</t>
  </si>
  <si>
    <t>Date</t>
  </si>
  <si>
    <t>Amount SGD</t>
  </si>
  <si>
    <t>Customer</t>
  </si>
  <si>
    <t>RCPT-0001</t>
  </si>
  <si>
    <t>CUST-022</t>
  </si>
  <si>
    <t>RCPT-0002</t>
  </si>
  <si>
    <t>CUST-006</t>
  </si>
  <si>
    <t>RCPT-0003</t>
  </si>
  <si>
    <t>CUST-033</t>
  </si>
  <si>
    <t>RCPT-0004</t>
  </si>
  <si>
    <t>CUST-030</t>
  </si>
  <si>
    <t>RCPT-0005</t>
  </si>
  <si>
    <t>RCPT-0006</t>
  </si>
  <si>
    <t>CUST-010</t>
  </si>
  <si>
    <t>RCPT-0007</t>
  </si>
  <si>
    <t>CUST-018</t>
  </si>
  <si>
    <t>RCPT-0008</t>
  </si>
  <si>
    <t>CUST-023</t>
  </si>
  <si>
    <t>RCPT-0009</t>
  </si>
  <si>
    <t>CUST-004</t>
  </si>
  <si>
    <t>RCPT-0010</t>
  </si>
  <si>
    <t>RCPT-0011</t>
  </si>
  <si>
    <t>CUST-029</t>
  </si>
  <si>
    <t>RCPT-0012</t>
  </si>
  <si>
    <t>CUST-019</t>
  </si>
  <si>
    <t>RCPT-0013</t>
  </si>
  <si>
    <t>CUST-035</t>
  </si>
  <si>
    <t>RCPT-0014</t>
  </si>
  <si>
    <t>RCPT-0015</t>
  </si>
  <si>
    <t>RCPT-0016</t>
  </si>
  <si>
    <t>RCPT-0017</t>
  </si>
  <si>
    <t>RCPT-0018</t>
  </si>
  <si>
    <t>RCPT-0019</t>
  </si>
  <si>
    <t>CUST-002</t>
  </si>
  <si>
    <t>RCPT-0020</t>
  </si>
  <si>
    <t>CUST-001</t>
  </si>
  <si>
    <t>RCPT-0021</t>
  </si>
  <si>
    <t>CUST-011</t>
  </si>
  <si>
    <t>RCPT-0022</t>
  </si>
  <si>
    <t>CUST-009</t>
  </si>
  <si>
    <t>RCPT-0023</t>
  </si>
  <si>
    <t>CUST-039</t>
  </si>
  <si>
    <t>RCPT-0024</t>
  </si>
  <si>
    <t>CUST-008</t>
  </si>
  <si>
    <t>RCPT-0025</t>
  </si>
  <si>
    <t>CUST-028</t>
  </si>
  <si>
    <t>RCPT-0026</t>
  </si>
  <si>
    <t>CUST-036</t>
  </si>
  <si>
    <t>RCPT-0027</t>
  </si>
  <si>
    <t>RCPT-0028</t>
  </si>
  <si>
    <t>CUST-037</t>
  </si>
  <si>
    <t>RCPT-0029</t>
  </si>
  <si>
    <t>RCPT-0030</t>
  </si>
  <si>
    <t>CUST-044</t>
  </si>
  <si>
    <t>RCPT-0031</t>
  </si>
  <si>
    <t>CUST-031</t>
  </si>
  <si>
    <t>RCPT-0032</t>
  </si>
  <si>
    <t>CUST-016</t>
  </si>
  <si>
    <t>RCPT-0033</t>
  </si>
  <si>
    <t>CUST-013</t>
  </si>
  <si>
    <t>RCPT-0034</t>
  </si>
  <si>
    <t>CUST-043</t>
  </si>
  <si>
    <t>RCPT-0035</t>
  </si>
  <si>
    <t>RCPT-0036</t>
  </si>
  <si>
    <t>CUST-020</t>
  </si>
  <si>
    <t>RCPT-0037</t>
  </si>
  <si>
    <t>RCPT-0038</t>
  </si>
  <si>
    <t>RCPT-0039</t>
  </si>
  <si>
    <t>RCPT-0040</t>
  </si>
  <si>
    <t>CUST-032</t>
  </si>
  <si>
    <t>RCPT-0041</t>
  </si>
  <si>
    <t>RCPT-0042</t>
  </si>
  <si>
    <t>RCPT-0043</t>
  </si>
  <si>
    <t>RCPT-0044</t>
  </si>
  <si>
    <t>CUST-042</t>
  </si>
  <si>
    <t>RCPT-0045</t>
  </si>
  <si>
    <t>RCPT-0046</t>
  </si>
  <si>
    <t>CUST-024</t>
  </si>
  <si>
    <t>RCPT-0047</t>
  </si>
  <si>
    <t>RCPT-0048</t>
  </si>
  <si>
    <t>RCPT-0049</t>
  </si>
  <si>
    <t>CUST-021</t>
  </si>
  <si>
    <t>RCPT-0050</t>
  </si>
  <si>
    <t>CUST-005</t>
  </si>
  <si>
    <t>RCPT-0051</t>
  </si>
  <si>
    <t>RCPT-0052</t>
  </si>
  <si>
    <t>RCPT-0053</t>
  </si>
  <si>
    <t>RCPT-0054</t>
  </si>
  <si>
    <t>CUST-041</t>
  </si>
  <si>
    <t>RCPT-0055</t>
  </si>
  <si>
    <t>CUST-017</t>
  </si>
  <si>
    <t>RCPT-0056</t>
  </si>
  <si>
    <t>RCPT-0057</t>
  </si>
  <si>
    <t>RCPT-0058</t>
  </si>
  <si>
    <t>RCPT-0059</t>
  </si>
  <si>
    <t>RCPT-0060</t>
  </si>
  <si>
    <t>RCPT-0061</t>
  </si>
  <si>
    <t>CUST-025</t>
  </si>
  <si>
    <t>RCPT-0062</t>
  </si>
  <si>
    <t>RCPT-0063</t>
  </si>
  <si>
    <t>RCPT-0064</t>
  </si>
  <si>
    <t>RCPT-0065</t>
  </si>
  <si>
    <t>RCPT-0066</t>
  </si>
  <si>
    <t>CUST-015</t>
  </si>
  <si>
    <t>RCPT-0067</t>
  </si>
  <si>
    <t>RCPT-0068</t>
  </si>
  <si>
    <t>RCPT-0069</t>
  </si>
  <si>
    <t>RCPT-0070</t>
  </si>
  <si>
    <t>RCPT-0071</t>
  </si>
  <si>
    <t>RCPT-0072</t>
  </si>
  <si>
    <t>RCPT-0073</t>
  </si>
  <si>
    <t>CUST-040</t>
  </si>
  <si>
    <t>RCPT-0074</t>
  </si>
  <si>
    <t>RCPT-0075</t>
  </si>
  <si>
    <t>CUST-003</t>
  </si>
  <si>
    <t>RCPT-0076</t>
  </si>
  <si>
    <t>RCPT-0077</t>
  </si>
  <si>
    <t>RCPT-0078</t>
  </si>
  <si>
    <t>RCPT-0079</t>
  </si>
  <si>
    <t>RCPT-0080</t>
  </si>
  <si>
    <t>CUST-034</t>
  </si>
  <si>
    <t>RCPT-0081</t>
  </si>
  <si>
    <t>RCPT-0082</t>
  </si>
  <si>
    <t>RCPT-0083</t>
  </si>
  <si>
    <t>CUST-007</t>
  </si>
  <si>
    <t>RCPT-0084</t>
  </si>
  <si>
    <t>RCPT-0085</t>
  </si>
  <si>
    <t>RCPT-0086</t>
  </si>
  <si>
    <t>RCPT-0087</t>
  </si>
  <si>
    <t>RCPT-0088</t>
  </si>
  <si>
    <t>CUST-012</t>
  </si>
  <si>
    <t>RCPT-0089</t>
  </si>
  <si>
    <t>RCPT-0090</t>
  </si>
  <si>
    <t>BANK-ONLY-01</t>
  </si>
  <si>
    <t>CUST-999</t>
  </si>
  <si>
    <t>Ledger Date</t>
  </si>
  <si>
    <t>Ledger Amount</t>
  </si>
  <si>
    <t>Bank Amount</t>
  </si>
  <si>
    <t>Difference</t>
  </si>
  <si>
    <t>Match Status</t>
  </si>
  <si>
    <t>Owner</t>
  </si>
  <si>
    <t>AR Analyst</t>
  </si>
  <si>
    <t>Reconciliation summary</t>
  </si>
  <si>
    <t>Measure</t>
  </si>
  <si>
    <t>Calculated</t>
  </si>
  <si>
    <t>Expected</t>
  </si>
  <si>
    <t>Ledger total</t>
  </si>
  <si>
    <t>Bank total</t>
  </si>
  <si>
    <t>Exact matches</t>
  </si>
  <si>
    <t>Tolerance matches</t>
  </si>
  <si>
    <t>Unresolved exceptions</t>
  </si>
  <si>
    <t>Month</t>
  </si>
  <si>
    <t>Month No</t>
  </si>
  <si>
    <t>Department</t>
  </si>
  <si>
    <t>Actual</t>
  </si>
  <si>
    <t>Budget</t>
  </si>
  <si>
    <t>Variance</t>
  </si>
  <si>
    <t>Variance %</t>
  </si>
  <si>
    <t>Jan</t>
  </si>
  <si>
    <t>Retail</t>
  </si>
  <si>
    <t>SME</t>
  </si>
  <si>
    <t>Enterprise</t>
  </si>
  <si>
    <t>Digital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</si>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</sst>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4">
    <numFmt numFmtId="164" formatCode="dd-mmm-yyyy"/>
    <numFmt numFmtId="165" formatCode="$#,##0.00;[Red]-$#,##0.00"/>
    <numFmt numFmtId="166" formatCode="$#,##0;[Red]-$#,##0"/>
    <numFmt numFmtId="167" formatCode="0.0%"/>
  </numFmts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164" fontId="0" fillId="0" borderId="2" xfId="0" applyNumberFormat="1" applyBorder="1"/>
    <xf numFmtId="165" fontId="0" fillId="0" borderId="2" xfId="0" applyNumberFormat="1" applyBorder="1"/>
    <xf numFmtId="0" fontId="0" fillId="0" borderId="2" xfId="0" applyBorder="1" applyAlignment="1">
      <alignment vertical="top"/>
    </xf>
    <xf numFmtId="0" fontId="3" fillId="3" borderId="1" xfId="0" applyFont="1" applyFill="1" applyBorder="1" applyAlignment="1">
      <alignment vertical="center" wrapText="1"/>
    </xf>
    <xf numFmtId="166" fontId="0" fillId="0" borderId="2" xfId="0" applyNumberFormat="1" applyBorder="1"/>
    <xf numFmtId="167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variance by department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Variance</c:v>
          </c:tx>
          <c:spPr>
            <a:solidFill>
              <a:srgbClr val="1F6FEB"/>
            </a:solidFill>
          </c:spPr>
          <c:cat>
            <c:strRef>
              <c:f>'Variance Data'!$A$2:$A$25</c:f>
              <c:strCache>
                <c:ptCount val="24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Jan</c:v>
                </c:pt>
                <c:pt idx="4">
                  <c:v>Feb</c:v>
                </c:pt>
                <c:pt idx="5">
                  <c:v>Feb</c:v>
                </c:pt>
                <c:pt idx="6">
                  <c:v>Feb</c:v>
                </c:pt>
                <c:pt idx="7">
                  <c:v>Feb</c:v>
                </c:pt>
                <c:pt idx="8">
                  <c:v>Mar</c:v>
                </c:pt>
                <c:pt idx="9">
                  <c:v>Mar</c:v>
                </c:pt>
                <c:pt idx="10">
                  <c:v>Mar</c:v>
                </c:pt>
                <c:pt idx="11">
                  <c:v>Mar</c:v>
                </c:pt>
                <c:pt idx="12">
                  <c:v>Apr</c:v>
                </c:pt>
                <c:pt idx="13">
                  <c:v>Apr</c:v>
                </c:pt>
                <c:pt idx="14">
                  <c:v>Apr</c:v>
                </c:pt>
                <c:pt idx="15">
                  <c:v>Apr</c:v>
                </c:pt>
                <c:pt idx="16">
                  <c:v>May</c:v>
                </c:pt>
                <c:pt idx="17">
                  <c:v>May</c:v>
                </c:pt>
                <c:pt idx="18">
                  <c:v>May</c:v>
                </c:pt>
                <c:pt idx="19">
                  <c:v>May</c:v>
                </c:pt>
                <c:pt idx="20">
                  <c:v>Jun</c:v>
                </c:pt>
                <c:pt idx="21">
                  <c:v>Jun</c:v>
                </c:pt>
                <c:pt idx="22">
                  <c:v>Jun</c:v>
                </c:pt>
                <c:pt idx="23">
                  <c:v>Jun</c:v>
                </c:pt>
              </c:strCache>
            </c:strRef>
          </c:cat>
          <c:val>
            <c:numRef>
              <c:f>'Variance Data'!$F$2:$F$25</c:f>
              <c:numCache>
                <c:formatCode>General</c:formatCode>
                <c:ptCount val="24"/>
                <c:pt idx="0">
                  <c:v>3011</c:v>
                </c:pt>
                <c:pt idx="1">
                  <c:v>-17816</c:v>
                </c:pt>
                <c:pt idx="2">
                  <c:v>-48488</c:v>
                </c:pt>
                <c:pt idx="3">
                  <c:v>49903</c:v>
                </c:pt>
                <c:pt idx="4">
                  <c:v>58302</c:v>
                </c:pt>
                <c:pt idx="5">
                  <c:v>51464</c:v>
                </c:pt>
                <c:pt idx="6">
                  <c:v>12817</c:v>
                </c:pt>
                <c:pt idx="7">
                  <c:v>28994</c:v>
                </c:pt>
                <c:pt idx="8">
                  <c:v>-1861</c:v>
                </c:pt>
                <c:pt idx="9">
                  <c:v>63787</c:v>
                </c:pt>
                <c:pt idx="10">
                  <c:v>10431</c:v>
                </c:pt>
                <c:pt idx="11">
                  <c:v>-5966</c:v>
                </c:pt>
                <c:pt idx="12">
                  <c:v>49890</c:v>
                </c:pt>
                <c:pt idx="13">
                  <c:v>35840</c:v>
                </c:pt>
                <c:pt idx="14">
                  <c:v>54090</c:v>
                </c:pt>
                <c:pt idx="15">
                  <c:v>14042</c:v>
                </c:pt>
                <c:pt idx="16">
                  <c:v>44168</c:v>
                </c:pt>
                <c:pt idx="17">
                  <c:v>-9697</c:v>
                </c:pt>
                <c:pt idx="18">
                  <c:v>-55417</c:v>
                </c:pt>
                <c:pt idx="19">
                  <c:v>-50603</c:v>
                </c:pt>
                <c:pt idx="20">
                  <c:v>-232</c:v>
                </c:pt>
                <c:pt idx="21">
                  <c:v>27459</c:v>
                </c:pt>
                <c:pt idx="22">
                  <c:v>37775</c:v>
                </c:pt>
                <c:pt idx="23">
                  <c:v>-32261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17</xdr:col>
      <xdr:colOff>457200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LedgerTable" displayName="LedgerTable" ref="A1:D91" totalsRowShown="0">
  <autoFilter ref="A1:D91"/>
  <tableColumns count="4">
    <tableColumn id="1" name="Reference"/>
    <tableColumn id="2" name="Date"/>
    <tableColumn id="3" name="Amount SGD"/>
    <tableColumn id="4" name="Custom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nkTable" displayName="BankTable" ref="A1:D88" totalsRowShown="0">
  <autoFilter ref="A1:D88"/>
  <tableColumns count="4">
    <tableColumn id="1" name="Reference"/>
    <tableColumn id="2" name="Date"/>
    <tableColumn id="3" name="Amount SGD"/>
    <tableColumn id="4" name="Custom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conciliationTable" displayName="ReconciliationTable" ref="A1:G91" totalsRowShown="0">
  <autoFilter ref="A1:G91"/>
  <tableColumns count="7">
    <tableColumn id="1" name="Reference"/>
    <tableColumn id="2" name="Ledger Date"/>
    <tableColumn id="3" name="Ledger Amount"/>
    <tableColumn id="4" name="Bank Amount"/>
    <tableColumn id="5" name="Difference"/>
    <tableColumn id="6" name="Match Status"/>
    <tableColumn id="7" name="Own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arianceTable" displayName="VarianceTable" ref="A1:G25" totalsRowShown="0">
  <autoFilter ref="A1:G25"/>
  <tableColumns count="7">
    <tableColumn id="1" name="Month"/>
    <tableColumn id="2" name="Month No"/>
    <tableColumn id="3" name="Department"/>
    <tableColumn id="4" name="Actual"/>
    <tableColumn id="5" name="Budget"/>
    <tableColumn id="6" name="Variance"/>
    <tableColumn id="7" name="Variance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4" width="16.7109375" customWidth="1"/>
  </cols>
  <sheetData>
    <row r="1" spans="1:4" ht="30" customHeight="1">
      <c r="A1" t="s">
        <v>15</v>
      </c>
      <c r="B1" t="s">
        <v>16</v>
      </c>
      <c r="C1" t="s">
        <v>17</v>
      </c>
      <c r="D1" t="s">
        <v>18</v>
      </c>
    </row>
    <row r="2" spans="1:4">
      <c r="A2" t="s">
        <v>19</v>
      </c>
      <c r="B2" s="4">
        <v>46188</v>
      </c>
      <c r="C2" s="5">
        <v>4238.9</v>
      </c>
      <c r="D2" t="s">
        <v>20</v>
      </c>
    </row>
    <row r="3" spans="1:4">
      <c r="A3" t="s">
        <v>21</v>
      </c>
      <c r="B3" s="4">
        <v>46193</v>
      </c>
      <c r="C3" s="5">
        <v>2854.52</v>
      </c>
      <c r="D3" t="s">
        <v>22</v>
      </c>
    </row>
    <row r="4" spans="1:4">
      <c r="A4" t="s">
        <v>23</v>
      </c>
      <c r="B4" s="4">
        <v>46178</v>
      </c>
      <c r="C4" s="5">
        <v>3462.45</v>
      </c>
      <c r="D4" t="s">
        <v>24</v>
      </c>
    </row>
    <row r="5" spans="1:4">
      <c r="A5" t="s">
        <v>25</v>
      </c>
      <c r="B5" s="4">
        <v>46185</v>
      </c>
      <c r="C5" s="5">
        <v>4293.22</v>
      </c>
      <c r="D5" t="s">
        <v>26</v>
      </c>
    </row>
    <row r="6" spans="1:4">
      <c r="A6" t="s">
        <v>27</v>
      </c>
      <c r="B6" s="4">
        <v>46183</v>
      </c>
      <c r="C6" s="5">
        <v>11581.1</v>
      </c>
      <c r="D6" t="s">
        <v>22</v>
      </c>
    </row>
    <row r="7" spans="1:4">
      <c r="A7" t="s">
        <v>28</v>
      </c>
      <c r="B7" s="4">
        <v>46191</v>
      </c>
      <c r="C7" s="5">
        <v>9628.99</v>
      </c>
      <c r="D7" t="s">
        <v>29</v>
      </c>
    </row>
    <row r="8" spans="1:4">
      <c r="A8" t="s">
        <v>30</v>
      </c>
      <c r="B8" s="4">
        <v>46191</v>
      </c>
      <c r="C8" s="5">
        <v>3096.65</v>
      </c>
      <c r="D8" t="s">
        <v>31</v>
      </c>
    </row>
    <row r="9" spans="1:4">
      <c r="A9" t="s">
        <v>32</v>
      </c>
      <c r="B9" s="4">
        <v>46177</v>
      </c>
      <c r="C9" s="5">
        <v>18972.37</v>
      </c>
      <c r="D9" t="s">
        <v>33</v>
      </c>
    </row>
    <row r="10" spans="1:4">
      <c r="A10" t="s">
        <v>34</v>
      </c>
      <c r="B10" s="4">
        <v>46195</v>
      </c>
      <c r="C10" s="5">
        <v>7328.9</v>
      </c>
      <c r="D10" t="s">
        <v>35</v>
      </c>
    </row>
    <row r="11" spans="1:4">
      <c r="A11" t="s">
        <v>36</v>
      </c>
      <c r="B11" s="4">
        <v>46203</v>
      </c>
      <c r="C11" s="5">
        <v>24166.3</v>
      </c>
      <c r="D11" t="s">
        <v>35</v>
      </c>
    </row>
    <row r="12" spans="1:4">
      <c r="A12" t="s">
        <v>37</v>
      </c>
      <c r="B12" s="4">
        <v>46193</v>
      </c>
      <c r="C12" s="5">
        <v>3505.93</v>
      </c>
      <c r="D12" t="s">
        <v>38</v>
      </c>
    </row>
    <row r="13" spans="1:4">
      <c r="A13" t="s">
        <v>39</v>
      </c>
      <c r="B13" s="4">
        <v>46192</v>
      </c>
      <c r="C13" s="5">
        <v>6203.25</v>
      </c>
      <c r="D13" t="s">
        <v>40</v>
      </c>
    </row>
    <row r="14" spans="1:4">
      <c r="A14" t="s">
        <v>41</v>
      </c>
      <c r="B14" s="4">
        <v>46202</v>
      </c>
      <c r="C14" s="5">
        <v>10652.47</v>
      </c>
      <c r="D14" t="s">
        <v>42</v>
      </c>
    </row>
    <row r="15" spans="1:4">
      <c r="A15" t="s">
        <v>43</v>
      </c>
      <c r="B15" s="4">
        <v>46199</v>
      </c>
      <c r="C15" s="5">
        <v>20002.74</v>
      </c>
      <c r="D15" t="s">
        <v>20</v>
      </c>
    </row>
    <row r="16" spans="1:4">
      <c r="A16" t="s">
        <v>44</v>
      </c>
      <c r="B16" s="4">
        <v>46177</v>
      </c>
      <c r="C16" s="5">
        <v>18843.68</v>
      </c>
      <c r="D16" t="s">
        <v>33</v>
      </c>
    </row>
    <row r="17" spans="1:4">
      <c r="A17" t="s">
        <v>45</v>
      </c>
      <c r="B17" s="4">
        <v>46194</v>
      </c>
      <c r="C17" s="5">
        <v>23668.25</v>
      </c>
      <c r="D17" t="s">
        <v>33</v>
      </c>
    </row>
    <row r="18" spans="1:4">
      <c r="A18" t="s">
        <v>46</v>
      </c>
      <c r="B18" s="4">
        <v>46179</v>
      </c>
      <c r="C18" s="5">
        <v>19776.42</v>
      </c>
      <c r="D18" t="s">
        <v>29</v>
      </c>
    </row>
    <row r="19" spans="1:4">
      <c r="A19" t="s">
        <v>47</v>
      </c>
      <c r="B19" s="4">
        <v>46184</v>
      </c>
      <c r="C19" s="5">
        <v>3027.58</v>
      </c>
      <c r="D19" t="s">
        <v>31</v>
      </c>
    </row>
    <row r="20" spans="1:4">
      <c r="A20" t="s">
        <v>48</v>
      </c>
      <c r="B20" s="4">
        <v>46192</v>
      </c>
      <c r="C20" s="5">
        <v>16426.24</v>
      </c>
      <c r="D20" t="s">
        <v>49</v>
      </c>
    </row>
    <row r="21" spans="1:4">
      <c r="A21" t="s">
        <v>50</v>
      </c>
      <c r="B21" s="4">
        <v>46192</v>
      </c>
      <c r="C21" s="5">
        <v>11094.78</v>
      </c>
      <c r="D21" t="s">
        <v>51</v>
      </c>
    </row>
    <row r="22" spans="1:4">
      <c r="A22" t="s">
        <v>52</v>
      </c>
      <c r="B22" s="4">
        <v>46198</v>
      </c>
      <c r="C22" s="5">
        <v>12126.64</v>
      </c>
      <c r="D22" t="s">
        <v>53</v>
      </c>
    </row>
    <row r="23" spans="1:4">
      <c r="A23" t="s">
        <v>54</v>
      </c>
      <c r="B23" s="4">
        <v>46184</v>
      </c>
      <c r="C23" s="5">
        <v>1912.22</v>
      </c>
      <c r="D23" t="s">
        <v>55</v>
      </c>
    </row>
    <row r="24" spans="1:4">
      <c r="A24" t="s">
        <v>56</v>
      </c>
      <c r="B24" s="4">
        <v>46181</v>
      </c>
      <c r="C24" s="5">
        <v>14066.36</v>
      </c>
      <c r="D24" t="s">
        <v>57</v>
      </c>
    </row>
    <row r="25" spans="1:4">
      <c r="A25" t="s">
        <v>58</v>
      </c>
      <c r="B25" s="4">
        <v>46189</v>
      </c>
      <c r="C25" s="5">
        <v>7785.97</v>
      </c>
      <c r="D25" t="s">
        <v>59</v>
      </c>
    </row>
    <row r="26" spans="1:4">
      <c r="A26" t="s">
        <v>60</v>
      </c>
      <c r="B26" s="4">
        <v>46203</v>
      </c>
      <c r="C26" s="5">
        <v>16369.22</v>
      </c>
      <c r="D26" t="s">
        <v>61</v>
      </c>
    </row>
    <row r="27" spans="1:4">
      <c r="A27" t="s">
        <v>62</v>
      </c>
      <c r="B27" s="4">
        <v>46174</v>
      </c>
      <c r="C27" s="5">
        <v>4917.93</v>
      </c>
      <c r="D27" t="s">
        <v>63</v>
      </c>
    </row>
    <row r="28" spans="1:4">
      <c r="A28" t="s">
        <v>64</v>
      </c>
      <c r="B28" s="4">
        <v>46183</v>
      </c>
      <c r="C28" s="5">
        <v>6465.65</v>
      </c>
      <c r="D28" t="s">
        <v>38</v>
      </c>
    </row>
    <row r="29" spans="1:4">
      <c r="A29" t="s">
        <v>65</v>
      </c>
      <c r="B29" s="4">
        <v>46195</v>
      </c>
      <c r="C29" s="5">
        <v>1319.33</v>
      </c>
      <c r="D29" t="s">
        <v>66</v>
      </c>
    </row>
    <row r="30" spans="1:4">
      <c r="A30" t="s">
        <v>67</v>
      </c>
      <c r="B30" s="4">
        <v>46187</v>
      </c>
      <c r="C30" s="5">
        <v>9931.040000000001</v>
      </c>
      <c r="D30" t="s">
        <v>66</v>
      </c>
    </row>
    <row r="31" spans="1:4">
      <c r="A31" t="s">
        <v>68</v>
      </c>
      <c r="B31" s="4">
        <v>46177</v>
      </c>
      <c r="C31" s="5">
        <v>18429.25</v>
      </c>
      <c r="D31" t="s">
        <v>69</v>
      </c>
    </row>
    <row r="32" spans="1:4">
      <c r="A32" t="s">
        <v>70</v>
      </c>
      <c r="B32" s="4">
        <v>46191</v>
      </c>
      <c r="C32" s="5">
        <v>19622.89</v>
      </c>
      <c r="D32" t="s">
        <v>71</v>
      </c>
    </row>
    <row r="33" spans="1:4">
      <c r="A33" t="s">
        <v>72</v>
      </c>
      <c r="B33" s="4">
        <v>46178</v>
      </c>
      <c r="C33" s="5">
        <v>21396.69</v>
      </c>
      <c r="D33" t="s">
        <v>73</v>
      </c>
    </row>
    <row r="34" spans="1:4">
      <c r="A34" t="s">
        <v>74</v>
      </c>
      <c r="B34" s="4">
        <v>46174</v>
      </c>
      <c r="C34" s="5">
        <v>16098.8</v>
      </c>
      <c r="D34" t="s">
        <v>75</v>
      </c>
    </row>
    <row r="35" spans="1:4">
      <c r="A35" t="s">
        <v>76</v>
      </c>
      <c r="B35" s="4">
        <v>46180</v>
      </c>
      <c r="C35" s="5">
        <v>11901.93</v>
      </c>
      <c r="D35" t="s">
        <v>77</v>
      </c>
    </row>
    <row r="36" spans="1:4">
      <c r="A36" t="s">
        <v>78</v>
      </c>
      <c r="B36" s="4">
        <v>46195</v>
      </c>
      <c r="C36" s="5">
        <v>16498.73</v>
      </c>
      <c r="D36" t="s">
        <v>51</v>
      </c>
    </row>
    <row r="37" spans="1:4">
      <c r="A37" t="s">
        <v>79</v>
      </c>
      <c r="B37" s="4">
        <v>46180</v>
      </c>
      <c r="C37" s="5">
        <v>9852.309999999999</v>
      </c>
      <c r="D37" t="s">
        <v>80</v>
      </c>
    </row>
    <row r="38" spans="1:4">
      <c r="A38" t="s">
        <v>81</v>
      </c>
      <c r="B38" s="4">
        <v>46197</v>
      </c>
      <c r="C38" s="5">
        <v>9224.08</v>
      </c>
      <c r="D38" t="s">
        <v>55</v>
      </c>
    </row>
    <row r="39" spans="1:4">
      <c r="A39" t="s">
        <v>82</v>
      </c>
      <c r="B39" s="4">
        <v>46182</v>
      </c>
      <c r="C39" s="5">
        <v>9897.440000000001</v>
      </c>
      <c r="D39" t="s">
        <v>33</v>
      </c>
    </row>
    <row r="40" spans="1:4">
      <c r="A40" t="s">
        <v>83</v>
      </c>
      <c r="B40" s="4">
        <v>46185</v>
      </c>
      <c r="C40" s="5">
        <v>7776.2</v>
      </c>
      <c r="D40" t="s">
        <v>75</v>
      </c>
    </row>
    <row r="41" spans="1:4">
      <c r="A41" t="s">
        <v>84</v>
      </c>
      <c r="B41" s="4">
        <v>46178</v>
      </c>
      <c r="C41" s="5">
        <v>10790.05</v>
      </c>
      <c r="D41" t="s">
        <v>85</v>
      </c>
    </row>
    <row r="42" spans="1:4">
      <c r="A42" t="s">
        <v>86</v>
      </c>
      <c r="B42" s="4">
        <v>46180</v>
      </c>
      <c r="C42" s="5">
        <v>5340.27</v>
      </c>
      <c r="D42" t="s">
        <v>26</v>
      </c>
    </row>
    <row r="43" spans="1:4">
      <c r="A43" t="s">
        <v>87</v>
      </c>
      <c r="B43" s="4">
        <v>46200</v>
      </c>
      <c r="C43" s="5">
        <v>2023.27</v>
      </c>
      <c r="D43" t="s">
        <v>20</v>
      </c>
    </row>
    <row r="44" spans="1:4">
      <c r="A44" t="s">
        <v>88</v>
      </c>
      <c r="B44" s="4">
        <v>46183</v>
      </c>
      <c r="C44" s="5">
        <v>14789.76</v>
      </c>
      <c r="D44" t="s">
        <v>71</v>
      </c>
    </row>
    <row r="45" spans="1:4">
      <c r="A45" t="s">
        <v>89</v>
      </c>
      <c r="B45" s="4">
        <v>46193</v>
      </c>
      <c r="C45" s="5">
        <v>17655.46</v>
      </c>
      <c r="D45" t="s">
        <v>90</v>
      </c>
    </row>
    <row r="46" spans="1:4">
      <c r="A46" t="s">
        <v>91</v>
      </c>
      <c r="B46" s="4">
        <v>46187</v>
      </c>
      <c r="C46" s="5">
        <v>17110.44</v>
      </c>
      <c r="D46" t="s">
        <v>90</v>
      </c>
    </row>
    <row r="47" spans="1:4">
      <c r="A47" t="s">
        <v>92</v>
      </c>
      <c r="B47" s="4">
        <v>46188</v>
      </c>
      <c r="C47" s="5">
        <v>15389.79</v>
      </c>
      <c r="D47" t="s">
        <v>93</v>
      </c>
    </row>
    <row r="48" spans="1:4">
      <c r="A48" t="s">
        <v>94</v>
      </c>
      <c r="B48" s="4">
        <v>46175</v>
      </c>
      <c r="C48" s="5">
        <v>10561.79</v>
      </c>
      <c r="D48" t="s">
        <v>57</v>
      </c>
    </row>
    <row r="49" spans="1:4">
      <c r="A49" t="s">
        <v>95</v>
      </c>
      <c r="B49" s="4">
        <v>46202</v>
      </c>
      <c r="C49" s="5">
        <v>5010.74</v>
      </c>
      <c r="D49" t="s">
        <v>66</v>
      </c>
    </row>
    <row r="50" spans="1:4">
      <c r="A50" t="s">
        <v>96</v>
      </c>
      <c r="B50" s="4">
        <v>46202</v>
      </c>
      <c r="C50" s="5">
        <v>1352.99</v>
      </c>
      <c r="D50" t="s">
        <v>97</v>
      </c>
    </row>
    <row r="51" spans="1:4">
      <c r="A51" t="s">
        <v>98</v>
      </c>
      <c r="B51" s="4">
        <v>46197</v>
      </c>
      <c r="C51" s="5">
        <v>1858.96</v>
      </c>
      <c r="D51" t="s">
        <v>99</v>
      </c>
    </row>
    <row r="52" spans="1:4">
      <c r="A52" t="s">
        <v>100</v>
      </c>
      <c r="B52" s="4">
        <v>46174</v>
      </c>
      <c r="C52" s="5">
        <v>8217.200000000001</v>
      </c>
      <c r="D52" t="s">
        <v>57</v>
      </c>
    </row>
    <row r="53" spans="1:4">
      <c r="A53" t="s">
        <v>101</v>
      </c>
      <c r="B53" s="4">
        <v>46178</v>
      </c>
      <c r="C53" s="5">
        <v>21149.94</v>
      </c>
      <c r="D53" t="s">
        <v>93</v>
      </c>
    </row>
    <row r="54" spans="1:4">
      <c r="A54" t="s">
        <v>102</v>
      </c>
      <c r="B54" s="4">
        <v>46187</v>
      </c>
      <c r="C54" s="5">
        <v>16699.77</v>
      </c>
      <c r="D54" t="s">
        <v>24</v>
      </c>
    </row>
    <row r="55" spans="1:4">
      <c r="A55" t="s">
        <v>103</v>
      </c>
      <c r="B55" s="4">
        <v>46185</v>
      </c>
      <c r="C55" s="5">
        <v>4776.94</v>
      </c>
      <c r="D55" t="s">
        <v>104</v>
      </c>
    </row>
    <row r="56" spans="1:4">
      <c r="A56" t="s">
        <v>105</v>
      </c>
      <c r="B56" s="4">
        <v>46189</v>
      </c>
      <c r="C56" s="5">
        <v>6589.03</v>
      </c>
      <c r="D56" t="s">
        <v>106</v>
      </c>
    </row>
    <row r="57" spans="1:4">
      <c r="A57" t="s">
        <v>107</v>
      </c>
      <c r="B57" s="4">
        <v>46195</v>
      </c>
      <c r="C57" s="5">
        <v>10920.66</v>
      </c>
      <c r="D57" t="s">
        <v>38</v>
      </c>
    </row>
    <row r="58" spans="1:4">
      <c r="A58" t="s">
        <v>108</v>
      </c>
      <c r="B58" s="4">
        <v>46193</v>
      </c>
      <c r="C58" s="5">
        <v>13427.53</v>
      </c>
      <c r="D58" t="s">
        <v>24</v>
      </c>
    </row>
    <row r="59" spans="1:4">
      <c r="A59" t="s">
        <v>109</v>
      </c>
      <c r="B59" s="4">
        <v>46181</v>
      </c>
      <c r="C59" s="5">
        <v>11151.26</v>
      </c>
      <c r="D59" t="s">
        <v>85</v>
      </c>
    </row>
    <row r="60" spans="1:4">
      <c r="A60" t="s">
        <v>110</v>
      </c>
      <c r="B60" s="4">
        <v>46198</v>
      </c>
      <c r="C60" s="5">
        <v>13628.46</v>
      </c>
      <c r="D60" t="s">
        <v>35</v>
      </c>
    </row>
    <row r="61" spans="1:4">
      <c r="A61" t="s">
        <v>111</v>
      </c>
      <c r="B61" s="4">
        <v>46195</v>
      </c>
      <c r="C61" s="5">
        <v>18440.28</v>
      </c>
      <c r="D61" t="s">
        <v>29</v>
      </c>
    </row>
    <row r="62" spans="1:4">
      <c r="A62" t="s">
        <v>112</v>
      </c>
      <c r="B62" s="4">
        <v>46200</v>
      </c>
      <c r="C62" s="5">
        <v>9591.83</v>
      </c>
      <c r="D62" t="s">
        <v>113</v>
      </c>
    </row>
    <row r="63" spans="1:4">
      <c r="A63" t="s">
        <v>114</v>
      </c>
      <c r="B63" s="4">
        <v>46199</v>
      </c>
      <c r="C63" s="5">
        <v>20161.07</v>
      </c>
      <c r="D63" t="s">
        <v>80</v>
      </c>
    </row>
    <row r="64" spans="1:4">
      <c r="A64" t="s">
        <v>115</v>
      </c>
      <c r="B64" s="4">
        <v>46175</v>
      </c>
      <c r="C64" s="5">
        <v>4896.57</v>
      </c>
      <c r="D64" t="s">
        <v>73</v>
      </c>
    </row>
    <row r="65" spans="1:4">
      <c r="A65" t="s">
        <v>116</v>
      </c>
      <c r="B65" s="4">
        <v>46174</v>
      </c>
      <c r="C65" s="5">
        <v>21077.23</v>
      </c>
      <c r="D65" t="s">
        <v>42</v>
      </c>
    </row>
    <row r="66" spans="1:4">
      <c r="A66" t="s">
        <v>117</v>
      </c>
      <c r="B66" s="4">
        <v>46193</v>
      </c>
      <c r="C66" s="5">
        <v>21747.95</v>
      </c>
      <c r="D66" t="s">
        <v>113</v>
      </c>
    </row>
    <row r="67" spans="1:4">
      <c r="A67" t="s">
        <v>118</v>
      </c>
      <c r="B67" s="4">
        <v>46202</v>
      </c>
      <c r="C67" s="5">
        <v>17248.85</v>
      </c>
      <c r="D67" t="s">
        <v>119</v>
      </c>
    </row>
    <row r="68" spans="1:4">
      <c r="A68" t="s">
        <v>120</v>
      </c>
      <c r="B68" s="4">
        <v>46174</v>
      </c>
      <c r="C68" s="5">
        <v>4718.79</v>
      </c>
      <c r="D68" t="s">
        <v>113</v>
      </c>
    </row>
    <row r="69" spans="1:4">
      <c r="A69" t="s">
        <v>121</v>
      </c>
      <c r="B69" s="4">
        <v>46185</v>
      </c>
      <c r="C69" s="5">
        <v>10944.89</v>
      </c>
      <c r="D69" t="s">
        <v>59</v>
      </c>
    </row>
    <row r="70" spans="1:4">
      <c r="A70" t="s">
        <v>122</v>
      </c>
      <c r="B70" s="4">
        <v>46191</v>
      </c>
      <c r="C70" s="5">
        <v>1507.02</v>
      </c>
      <c r="D70" t="s">
        <v>61</v>
      </c>
    </row>
    <row r="71" spans="1:4">
      <c r="A71" t="s">
        <v>123</v>
      </c>
      <c r="B71" s="4">
        <v>46201</v>
      </c>
      <c r="C71" s="5">
        <v>23684.87</v>
      </c>
      <c r="D71" t="s">
        <v>73</v>
      </c>
    </row>
    <row r="72" spans="1:4">
      <c r="A72" t="s">
        <v>124</v>
      </c>
      <c r="B72" s="4">
        <v>46203</v>
      </c>
      <c r="C72" s="5">
        <v>7915.5</v>
      </c>
      <c r="D72" t="s">
        <v>73</v>
      </c>
    </row>
    <row r="73" spans="1:4">
      <c r="A73" t="s">
        <v>125</v>
      </c>
      <c r="B73" s="4">
        <v>46186</v>
      </c>
      <c r="C73" s="5">
        <v>21098.35</v>
      </c>
      <c r="D73" t="s">
        <v>73</v>
      </c>
    </row>
    <row r="74" spans="1:4">
      <c r="A74" t="s">
        <v>126</v>
      </c>
      <c r="B74" s="4">
        <v>46174</v>
      </c>
      <c r="C74" s="5">
        <v>12422.81</v>
      </c>
      <c r="D74" t="s">
        <v>127</v>
      </c>
    </row>
    <row r="75" spans="1:4">
      <c r="A75" t="s">
        <v>128</v>
      </c>
      <c r="B75" s="4">
        <v>46174</v>
      </c>
      <c r="C75" s="5">
        <v>23563</v>
      </c>
      <c r="D75" t="s">
        <v>106</v>
      </c>
    </row>
    <row r="76" spans="1:4">
      <c r="A76" t="s">
        <v>129</v>
      </c>
      <c r="B76" s="4">
        <v>46187</v>
      </c>
      <c r="C76" s="5">
        <v>9099.74</v>
      </c>
      <c r="D76" t="s">
        <v>130</v>
      </c>
    </row>
    <row r="77" spans="1:4">
      <c r="A77" t="s">
        <v>131</v>
      </c>
      <c r="B77" s="4">
        <v>46197</v>
      </c>
      <c r="C77" s="5">
        <v>11205.32</v>
      </c>
      <c r="D77" t="s">
        <v>38</v>
      </c>
    </row>
    <row r="78" spans="1:4">
      <c r="A78" t="s">
        <v>132</v>
      </c>
      <c r="B78" s="4">
        <v>46200</v>
      </c>
      <c r="C78" s="5">
        <v>3201.61</v>
      </c>
      <c r="D78" t="s">
        <v>29</v>
      </c>
    </row>
    <row r="79" spans="1:4">
      <c r="A79" t="s">
        <v>133</v>
      </c>
      <c r="B79" s="4">
        <v>46190</v>
      </c>
      <c r="C79" s="5">
        <v>6904.77</v>
      </c>
      <c r="D79" t="s">
        <v>55</v>
      </c>
    </row>
    <row r="80" spans="1:4">
      <c r="A80" t="s">
        <v>134</v>
      </c>
      <c r="B80" s="4">
        <v>46193</v>
      </c>
      <c r="C80" s="5">
        <v>7065.15</v>
      </c>
      <c r="D80" t="s">
        <v>20</v>
      </c>
    </row>
    <row r="81" spans="1:4">
      <c r="A81" t="s">
        <v>135</v>
      </c>
      <c r="B81" s="4">
        <v>46183</v>
      </c>
      <c r="C81" s="5">
        <v>18935.12</v>
      </c>
      <c r="D81" t="s">
        <v>136</v>
      </c>
    </row>
    <row r="82" spans="1:4">
      <c r="A82" t="s">
        <v>137</v>
      </c>
      <c r="B82" s="4">
        <v>46202</v>
      </c>
      <c r="C82" s="5">
        <v>9389.959999999999</v>
      </c>
      <c r="D82" t="s">
        <v>51</v>
      </c>
    </row>
    <row r="83" spans="1:4">
      <c r="A83" t="s">
        <v>138</v>
      </c>
      <c r="B83" s="4">
        <v>46188</v>
      </c>
      <c r="C83" s="5">
        <v>8702.07</v>
      </c>
      <c r="D83" t="s">
        <v>59</v>
      </c>
    </row>
    <row r="84" spans="1:4">
      <c r="A84" t="s">
        <v>139</v>
      </c>
      <c r="B84" s="4">
        <v>46180</v>
      </c>
      <c r="C84" s="5">
        <v>1884.2</v>
      </c>
      <c r="D84" t="s">
        <v>140</v>
      </c>
    </row>
    <row r="85" spans="1:4">
      <c r="A85" t="s">
        <v>141</v>
      </c>
      <c r="B85" s="4">
        <v>46202</v>
      </c>
      <c r="C85" s="5">
        <v>22786.4</v>
      </c>
      <c r="D85" t="s">
        <v>136</v>
      </c>
    </row>
    <row r="86" spans="1:4">
      <c r="A86" t="s">
        <v>142</v>
      </c>
      <c r="B86" s="4">
        <v>46186</v>
      </c>
      <c r="C86" s="5">
        <v>6334.12</v>
      </c>
      <c r="D86" t="s">
        <v>136</v>
      </c>
    </row>
    <row r="87" spans="1:4">
      <c r="A87" t="s">
        <v>143</v>
      </c>
      <c r="B87" s="4">
        <v>46198</v>
      </c>
      <c r="C87" s="5">
        <v>2048.97</v>
      </c>
      <c r="D87" t="s">
        <v>140</v>
      </c>
    </row>
    <row r="88" spans="1:4">
      <c r="A88" t="s">
        <v>144</v>
      </c>
      <c r="B88" s="4">
        <v>46176</v>
      </c>
      <c r="C88" s="5">
        <v>20167.16</v>
      </c>
      <c r="D88" t="s">
        <v>136</v>
      </c>
    </row>
    <row r="89" spans="1:4">
      <c r="A89" t="s">
        <v>145</v>
      </c>
      <c r="B89" s="4">
        <v>46189</v>
      </c>
      <c r="C89" s="5">
        <v>21278.24</v>
      </c>
      <c r="D89" t="s">
        <v>146</v>
      </c>
    </row>
    <row r="90" spans="1:4">
      <c r="A90" t="s">
        <v>147</v>
      </c>
      <c r="B90" s="4">
        <v>46194</v>
      </c>
      <c r="C90" s="5">
        <v>10347.94</v>
      </c>
      <c r="D90" t="s">
        <v>104</v>
      </c>
    </row>
    <row r="91" spans="1:4">
      <c r="A91" t="s">
        <v>148</v>
      </c>
      <c r="B91" s="4">
        <v>46192</v>
      </c>
      <c r="C91" s="5">
        <v>21161.17</v>
      </c>
      <c r="D91" t="s">
        <v>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D8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4" width="16.7109375" customWidth="1"/>
  </cols>
  <sheetData>
    <row r="1" spans="1:4" ht="30" customHeight="1">
      <c r="A1" t="s">
        <v>15</v>
      </c>
      <c r="B1" t="s">
        <v>16</v>
      </c>
      <c r="C1" t="s">
        <v>17</v>
      </c>
      <c r="D1" t="s">
        <v>18</v>
      </c>
    </row>
    <row r="2" spans="1:4">
      <c r="A2" t="s">
        <v>19</v>
      </c>
      <c r="B2" s="4">
        <v>46188</v>
      </c>
      <c r="C2" s="5">
        <v>4238.9</v>
      </c>
      <c r="D2" t="s">
        <v>20</v>
      </c>
    </row>
    <row r="3" spans="1:4">
      <c r="A3" t="s">
        <v>21</v>
      </c>
      <c r="B3" s="4">
        <v>46193</v>
      </c>
      <c r="C3" s="5">
        <v>2854.52</v>
      </c>
      <c r="D3" t="s">
        <v>22</v>
      </c>
    </row>
    <row r="4" spans="1:4">
      <c r="A4" t="s">
        <v>23</v>
      </c>
      <c r="B4" s="4">
        <v>46178</v>
      </c>
      <c r="C4" s="5">
        <v>3462.45</v>
      </c>
      <c r="D4" t="s">
        <v>24</v>
      </c>
    </row>
    <row r="5" spans="1:4">
      <c r="A5" t="s">
        <v>25</v>
      </c>
      <c r="B5" s="4">
        <v>46186</v>
      </c>
      <c r="C5" s="5">
        <v>4293.22</v>
      </c>
      <c r="D5" t="s">
        <v>26</v>
      </c>
    </row>
    <row r="6" spans="1:4">
      <c r="A6" t="s">
        <v>27</v>
      </c>
      <c r="B6" s="4">
        <v>46183</v>
      </c>
      <c r="C6" s="5">
        <v>11581.1</v>
      </c>
      <c r="D6" t="s">
        <v>22</v>
      </c>
    </row>
    <row r="7" spans="1:4">
      <c r="A7" t="s">
        <v>28</v>
      </c>
      <c r="B7" s="4">
        <v>46191</v>
      </c>
      <c r="C7" s="5">
        <v>9628.99</v>
      </c>
      <c r="D7" t="s">
        <v>29</v>
      </c>
    </row>
    <row r="8" spans="1:4">
      <c r="A8" t="s">
        <v>30</v>
      </c>
      <c r="B8" s="4">
        <v>46191</v>
      </c>
      <c r="C8" s="5">
        <v>3096.65</v>
      </c>
      <c r="D8" t="s">
        <v>31</v>
      </c>
    </row>
    <row r="9" spans="1:4">
      <c r="A9" t="s">
        <v>34</v>
      </c>
      <c r="B9" s="4">
        <v>46196</v>
      </c>
      <c r="C9" s="5">
        <v>7328.9</v>
      </c>
      <c r="D9" t="s">
        <v>35</v>
      </c>
    </row>
    <row r="10" spans="1:4">
      <c r="A10" t="s">
        <v>36</v>
      </c>
      <c r="B10" s="4">
        <v>46203</v>
      </c>
      <c r="C10" s="5">
        <v>24166.3</v>
      </c>
      <c r="D10" t="s">
        <v>35</v>
      </c>
    </row>
    <row r="11" spans="1:4">
      <c r="A11" t="s">
        <v>37</v>
      </c>
      <c r="B11" s="4">
        <v>46193</v>
      </c>
      <c r="C11" s="5">
        <v>3505.93</v>
      </c>
      <c r="D11" t="s">
        <v>38</v>
      </c>
    </row>
    <row r="12" spans="1:4">
      <c r="A12" t="s">
        <v>39</v>
      </c>
      <c r="B12" s="4">
        <v>46193</v>
      </c>
      <c r="C12" s="5">
        <v>6203.25</v>
      </c>
      <c r="D12" t="s">
        <v>40</v>
      </c>
    </row>
    <row r="13" spans="1:4">
      <c r="A13" t="s">
        <v>41</v>
      </c>
      <c r="B13" s="4">
        <v>46203</v>
      </c>
      <c r="C13" s="5">
        <v>10652.47</v>
      </c>
      <c r="D13" t="s">
        <v>42</v>
      </c>
    </row>
    <row r="14" spans="1:4">
      <c r="A14" t="s">
        <v>43</v>
      </c>
      <c r="B14" s="4">
        <v>46199</v>
      </c>
      <c r="C14" s="5">
        <v>20002.74</v>
      </c>
      <c r="D14" t="s">
        <v>20</v>
      </c>
    </row>
    <row r="15" spans="1:4">
      <c r="A15" t="s">
        <v>44</v>
      </c>
      <c r="B15" s="4">
        <v>46178</v>
      </c>
      <c r="C15" s="5">
        <v>18843.68</v>
      </c>
      <c r="D15" t="s">
        <v>33</v>
      </c>
    </row>
    <row r="16" spans="1:4">
      <c r="A16" t="s">
        <v>45</v>
      </c>
      <c r="B16" s="4">
        <v>46194</v>
      </c>
      <c r="C16" s="5">
        <v>23668.17</v>
      </c>
      <c r="D16" t="s">
        <v>33</v>
      </c>
    </row>
    <row r="17" spans="1:4">
      <c r="A17" t="s">
        <v>46</v>
      </c>
      <c r="B17" s="4">
        <v>46179</v>
      </c>
      <c r="C17" s="5">
        <v>19776.42</v>
      </c>
      <c r="D17" t="s">
        <v>29</v>
      </c>
    </row>
    <row r="18" spans="1:4">
      <c r="A18" t="s">
        <v>47</v>
      </c>
      <c r="B18" s="4">
        <v>46185</v>
      </c>
      <c r="C18" s="5">
        <v>3027.58</v>
      </c>
      <c r="D18" t="s">
        <v>31</v>
      </c>
    </row>
    <row r="19" spans="1:4">
      <c r="A19" t="s">
        <v>48</v>
      </c>
      <c r="B19" s="4">
        <v>46192</v>
      </c>
      <c r="C19" s="5">
        <v>16426.24</v>
      </c>
      <c r="D19" t="s">
        <v>49</v>
      </c>
    </row>
    <row r="20" spans="1:4">
      <c r="A20" t="s">
        <v>50</v>
      </c>
      <c r="B20" s="4">
        <v>46193</v>
      </c>
      <c r="C20" s="5">
        <v>11094.78</v>
      </c>
      <c r="D20" t="s">
        <v>51</v>
      </c>
    </row>
    <row r="21" spans="1:4">
      <c r="A21" t="s">
        <v>52</v>
      </c>
      <c r="B21" s="4">
        <v>46198</v>
      </c>
      <c r="C21" s="5">
        <v>12126.64</v>
      </c>
      <c r="D21" t="s">
        <v>53</v>
      </c>
    </row>
    <row r="22" spans="1:4">
      <c r="A22" t="s">
        <v>54</v>
      </c>
      <c r="B22" s="4">
        <v>46184</v>
      </c>
      <c r="C22" s="5">
        <v>1912.22</v>
      </c>
      <c r="D22" t="s">
        <v>55</v>
      </c>
    </row>
    <row r="23" spans="1:4">
      <c r="A23" t="s">
        <v>58</v>
      </c>
      <c r="B23" s="4">
        <v>46189</v>
      </c>
      <c r="C23" s="5">
        <v>7785.97</v>
      </c>
      <c r="D23" t="s">
        <v>59</v>
      </c>
    </row>
    <row r="24" spans="1:4">
      <c r="A24" t="s">
        <v>60</v>
      </c>
      <c r="B24" s="4">
        <v>46203</v>
      </c>
      <c r="C24" s="5">
        <v>16369.22</v>
      </c>
      <c r="D24" t="s">
        <v>61</v>
      </c>
    </row>
    <row r="25" spans="1:4">
      <c r="A25" t="s">
        <v>62</v>
      </c>
      <c r="B25" s="4">
        <v>46175</v>
      </c>
      <c r="C25" s="5">
        <v>4917.93</v>
      </c>
      <c r="D25" t="s">
        <v>63</v>
      </c>
    </row>
    <row r="26" spans="1:4">
      <c r="A26" t="s">
        <v>64</v>
      </c>
      <c r="B26" s="4">
        <v>46183</v>
      </c>
      <c r="C26" s="5">
        <v>6465.65</v>
      </c>
      <c r="D26" t="s">
        <v>38</v>
      </c>
    </row>
    <row r="27" spans="1:4">
      <c r="A27" t="s">
        <v>65</v>
      </c>
      <c r="B27" s="4">
        <v>46196</v>
      </c>
      <c r="C27" s="5">
        <v>1319.33</v>
      </c>
      <c r="D27" t="s">
        <v>66</v>
      </c>
    </row>
    <row r="28" spans="1:4">
      <c r="A28" t="s">
        <v>67</v>
      </c>
      <c r="B28" s="4">
        <v>46187</v>
      </c>
      <c r="C28" s="5">
        <v>9931.040000000001</v>
      </c>
      <c r="D28" t="s">
        <v>66</v>
      </c>
    </row>
    <row r="29" spans="1:4">
      <c r="A29" t="s">
        <v>68</v>
      </c>
      <c r="B29" s="4">
        <v>46177</v>
      </c>
      <c r="C29" s="5">
        <v>18429.25</v>
      </c>
      <c r="D29" t="s">
        <v>69</v>
      </c>
    </row>
    <row r="30" spans="1:4">
      <c r="A30" t="s">
        <v>70</v>
      </c>
      <c r="B30" s="4">
        <v>46191</v>
      </c>
      <c r="C30" s="5">
        <v>19622.89</v>
      </c>
      <c r="D30" t="s">
        <v>71</v>
      </c>
    </row>
    <row r="31" spans="1:4">
      <c r="A31" t="s">
        <v>72</v>
      </c>
      <c r="B31" s="4">
        <v>46178</v>
      </c>
      <c r="C31" s="5">
        <v>21396.69</v>
      </c>
      <c r="D31" t="s">
        <v>73</v>
      </c>
    </row>
    <row r="32" spans="1:4">
      <c r="A32" t="s">
        <v>74</v>
      </c>
      <c r="B32" s="4">
        <v>46174</v>
      </c>
      <c r="C32" s="5">
        <v>16098.8</v>
      </c>
      <c r="D32" t="s">
        <v>75</v>
      </c>
    </row>
    <row r="33" spans="1:4">
      <c r="A33" t="s">
        <v>76</v>
      </c>
      <c r="B33" s="4">
        <v>46180</v>
      </c>
      <c r="C33" s="5">
        <v>11901.93</v>
      </c>
      <c r="D33" t="s">
        <v>77</v>
      </c>
    </row>
    <row r="34" spans="1:4">
      <c r="A34" t="s">
        <v>78</v>
      </c>
      <c r="B34" s="4">
        <v>46195</v>
      </c>
      <c r="C34" s="5">
        <v>16498.73</v>
      </c>
      <c r="D34" t="s">
        <v>51</v>
      </c>
    </row>
    <row r="35" spans="1:4">
      <c r="A35" t="s">
        <v>79</v>
      </c>
      <c r="B35" s="4">
        <v>46180</v>
      </c>
      <c r="C35" s="5">
        <v>9852.309999999999</v>
      </c>
      <c r="D35" t="s">
        <v>80</v>
      </c>
    </row>
    <row r="36" spans="1:4">
      <c r="A36" t="s">
        <v>81</v>
      </c>
      <c r="B36" s="4">
        <v>46197</v>
      </c>
      <c r="C36" s="5">
        <v>9224.08</v>
      </c>
      <c r="D36" t="s">
        <v>55</v>
      </c>
    </row>
    <row r="37" spans="1:4">
      <c r="A37" t="s">
        <v>82</v>
      </c>
      <c r="B37" s="4">
        <v>46183</v>
      </c>
      <c r="C37" s="5">
        <v>9897.440000000001</v>
      </c>
      <c r="D37" t="s">
        <v>33</v>
      </c>
    </row>
    <row r="38" spans="1:4">
      <c r="A38" t="s">
        <v>83</v>
      </c>
      <c r="B38" s="4">
        <v>46185</v>
      </c>
      <c r="C38" s="5">
        <v>7776.2</v>
      </c>
      <c r="D38" t="s">
        <v>75</v>
      </c>
    </row>
    <row r="39" spans="1:4">
      <c r="A39" t="s">
        <v>84</v>
      </c>
      <c r="B39" s="4">
        <v>46178</v>
      </c>
      <c r="C39" s="5">
        <v>10790.05</v>
      </c>
      <c r="D39" t="s">
        <v>85</v>
      </c>
    </row>
    <row r="40" spans="1:4">
      <c r="A40" t="s">
        <v>86</v>
      </c>
      <c r="B40" s="4">
        <v>46180</v>
      </c>
      <c r="C40" s="5">
        <v>5340.27</v>
      </c>
      <c r="D40" t="s">
        <v>26</v>
      </c>
    </row>
    <row r="41" spans="1:4">
      <c r="A41" t="s">
        <v>87</v>
      </c>
      <c r="B41" s="4">
        <v>46200</v>
      </c>
      <c r="C41" s="5">
        <v>2023.27</v>
      </c>
      <c r="D41" t="s">
        <v>20</v>
      </c>
    </row>
    <row r="42" spans="1:4">
      <c r="A42" t="s">
        <v>88</v>
      </c>
      <c r="B42" s="4">
        <v>46184</v>
      </c>
      <c r="C42" s="5">
        <v>14789.76</v>
      </c>
      <c r="D42" t="s">
        <v>71</v>
      </c>
    </row>
    <row r="43" spans="1:4">
      <c r="A43" t="s">
        <v>89</v>
      </c>
      <c r="B43" s="4">
        <v>46193</v>
      </c>
      <c r="C43" s="5">
        <v>17655.46</v>
      </c>
      <c r="D43" t="s">
        <v>90</v>
      </c>
    </row>
    <row r="44" spans="1:4">
      <c r="A44" t="s">
        <v>91</v>
      </c>
      <c r="B44" s="4">
        <v>46187</v>
      </c>
      <c r="C44" s="5">
        <v>17110.49</v>
      </c>
      <c r="D44" t="s">
        <v>90</v>
      </c>
    </row>
    <row r="45" spans="1:4">
      <c r="A45" t="s">
        <v>92</v>
      </c>
      <c r="B45" s="4">
        <v>46188</v>
      </c>
      <c r="C45" s="5">
        <v>15389.79</v>
      </c>
      <c r="D45" t="s">
        <v>93</v>
      </c>
    </row>
    <row r="46" spans="1:4">
      <c r="A46" t="s">
        <v>94</v>
      </c>
      <c r="B46" s="4">
        <v>46176</v>
      </c>
      <c r="C46" s="5">
        <v>10561.79</v>
      </c>
      <c r="D46" t="s">
        <v>57</v>
      </c>
    </row>
    <row r="47" spans="1:4">
      <c r="A47" t="s">
        <v>95</v>
      </c>
      <c r="B47" s="4">
        <v>46202</v>
      </c>
      <c r="C47" s="5">
        <v>5010.74</v>
      </c>
      <c r="D47" t="s">
        <v>66</v>
      </c>
    </row>
    <row r="48" spans="1:4">
      <c r="A48" t="s">
        <v>96</v>
      </c>
      <c r="B48" s="4">
        <v>46202</v>
      </c>
      <c r="C48" s="5">
        <v>1352.99</v>
      </c>
      <c r="D48" t="s">
        <v>97</v>
      </c>
    </row>
    <row r="49" spans="1:4">
      <c r="A49" t="s">
        <v>98</v>
      </c>
      <c r="B49" s="4">
        <v>46197</v>
      </c>
      <c r="C49" s="5">
        <v>1858.96</v>
      </c>
      <c r="D49" t="s">
        <v>99</v>
      </c>
    </row>
    <row r="50" spans="1:4">
      <c r="A50" t="s">
        <v>100</v>
      </c>
      <c r="B50" s="4">
        <v>46174</v>
      </c>
      <c r="C50" s="5">
        <v>8217.200000000001</v>
      </c>
      <c r="D50" t="s">
        <v>57</v>
      </c>
    </row>
    <row r="51" spans="1:4">
      <c r="A51" t="s">
        <v>101</v>
      </c>
      <c r="B51" s="4">
        <v>46178</v>
      </c>
      <c r="C51" s="5">
        <v>21149.94</v>
      </c>
      <c r="D51" t="s">
        <v>93</v>
      </c>
    </row>
    <row r="52" spans="1:4">
      <c r="A52" t="s">
        <v>102</v>
      </c>
      <c r="B52" s="4">
        <v>46187</v>
      </c>
      <c r="C52" s="5">
        <v>16699.77</v>
      </c>
      <c r="D52" t="s">
        <v>24</v>
      </c>
    </row>
    <row r="53" spans="1:4">
      <c r="A53" t="s">
        <v>103</v>
      </c>
      <c r="B53" s="4">
        <v>46185</v>
      </c>
      <c r="C53" s="5">
        <v>4776.94</v>
      </c>
      <c r="D53" t="s">
        <v>104</v>
      </c>
    </row>
    <row r="54" spans="1:4">
      <c r="A54" t="s">
        <v>105</v>
      </c>
      <c r="B54" s="4">
        <v>46189</v>
      </c>
      <c r="C54" s="5">
        <v>6589.03</v>
      </c>
      <c r="D54" t="s">
        <v>106</v>
      </c>
    </row>
    <row r="55" spans="1:4">
      <c r="A55" t="s">
        <v>107</v>
      </c>
      <c r="B55" s="4">
        <v>46195</v>
      </c>
      <c r="C55" s="5">
        <v>10920.66</v>
      </c>
      <c r="D55" t="s">
        <v>38</v>
      </c>
    </row>
    <row r="56" spans="1:4">
      <c r="A56" t="s">
        <v>108</v>
      </c>
      <c r="B56" s="4">
        <v>46193</v>
      </c>
      <c r="C56" s="5">
        <v>13427.53</v>
      </c>
      <c r="D56" t="s">
        <v>24</v>
      </c>
    </row>
    <row r="57" spans="1:4">
      <c r="A57" t="s">
        <v>109</v>
      </c>
      <c r="B57" s="4">
        <v>46181</v>
      </c>
      <c r="C57" s="5">
        <v>11151.26</v>
      </c>
      <c r="D57" t="s">
        <v>85</v>
      </c>
    </row>
    <row r="58" spans="1:4">
      <c r="A58" t="s">
        <v>111</v>
      </c>
      <c r="B58" s="4">
        <v>46195</v>
      </c>
      <c r="C58" s="5">
        <v>18440.28</v>
      </c>
      <c r="D58" t="s">
        <v>29</v>
      </c>
    </row>
    <row r="59" spans="1:4">
      <c r="A59" t="s">
        <v>112</v>
      </c>
      <c r="B59" s="4">
        <v>46200</v>
      </c>
      <c r="C59" s="5">
        <v>9591.83</v>
      </c>
      <c r="D59" t="s">
        <v>113</v>
      </c>
    </row>
    <row r="60" spans="1:4">
      <c r="A60" t="s">
        <v>114</v>
      </c>
      <c r="B60" s="4">
        <v>46199</v>
      </c>
      <c r="C60" s="5">
        <v>20161.07</v>
      </c>
      <c r="D60" t="s">
        <v>80</v>
      </c>
    </row>
    <row r="61" spans="1:4">
      <c r="A61" t="s">
        <v>115</v>
      </c>
      <c r="B61" s="4">
        <v>46175</v>
      </c>
      <c r="C61" s="5">
        <v>4896.57</v>
      </c>
      <c r="D61" t="s">
        <v>73</v>
      </c>
    </row>
    <row r="62" spans="1:4">
      <c r="A62" t="s">
        <v>116</v>
      </c>
      <c r="B62" s="4">
        <v>46174</v>
      </c>
      <c r="C62" s="5">
        <v>21077.23</v>
      </c>
      <c r="D62" t="s">
        <v>42</v>
      </c>
    </row>
    <row r="63" spans="1:4">
      <c r="A63" t="s">
        <v>117</v>
      </c>
      <c r="B63" s="4">
        <v>46193</v>
      </c>
      <c r="C63" s="5">
        <v>21747.95</v>
      </c>
      <c r="D63" t="s">
        <v>113</v>
      </c>
    </row>
    <row r="64" spans="1:4">
      <c r="A64" t="s">
        <v>118</v>
      </c>
      <c r="B64" s="4">
        <v>46202</v>
      </c>
      <c r="C64" s="5">
        <v>17248.85</v>
      </c>
      <c r="D64" t="s">
        <v>119</v>
      </c>
    </row>
    <row r="65" spans="1:4">
      <c r="A65" t="s">
        <v>120</v>
      </c>
      <c r="B65" s="4">
        <v>46175</v>
      </c>
      <c r="C65" s="5">
        <v>4718.79</v>
      </c>
      <c r="D65" t="s">
        <v>113</v>
      </c>
    </row>
    <row r="66" spans="1:4">
      <c r="A66" t="s">
        <v>121</v>
      </c>
      <c r="B66" s="4">
        <v>46185</v>
      </c>
      <c r="C66" s="5">
        <v>10944.89</v>
      </c>
      <c r="D66" t="s">
        <v>59</v>
      </c>
    </row>
    <row r="67" spans="1:4">
      <c r="A67" t="s">
        <v>122</v>
      </c>
      <c r="B67" s="4">
        <v>46191</v>
      </c>
      <c r="C67" s="5">
        <v>1507.02</v>
      </c>
      <c r="D67" t="s">
        <v>61</v>
      </c>
    </row>
    <row r="68" spans="1:4">
      <c r="A68" t="s">
        <v>123</v>
      </c>
      <c r="B68" s="4">
        <v>46201</v>
      </c>
      <c r="C68" s="5">
        <v>23684.87</v>
      </c>
      <c r="D68" t="s">
        <v>73</v>
      </c>
    </row>
    <row r="69" spans="1:4">
      <c r="A69" t="s">
        <v>124</v>
      </c>
      <c r="B69" s="4">
        <v>46203</v>
      </c>
      <c r="C69" s="5">
        <v>7915.5</v>
      </c>
      <c r="D69" t="s">
        <v>73</v>
      </c>
    </row>
    <row r="70" spans="1:4">
      <c r="A70" t="s">
        <v>125</v>
      </c>
      <c r="B70" s="4">
        <v>46186</v>
      </c>
      <c r="C70" s="5">
        <v>21098.35</v>
      </c>
      <c r="D70" t="s">
        <v>73</v>
      </c>
    </row>
    <row r="71" spans="1:4">
      <c r="A71" t="s">
        <v>126</v>
      </c>
      <c r="B71" s="4">
        <v>46174</v>
      </c>
      <c r="C71" s="5">
        <v>12422.81</v>
      </c>
      <c r="D71" t="s">
        <v>127</v>
      </c>
    </row>
    <row r="72" spans="1:4">
      <c r="A72" t="s">
        <v>128</v>
      </c>
      <c r="B72" s="4">
        <v>46174</v>
      </c>
      <c r="C72" s="5">
        <v>23563</v>
      </c>
      <c r="D72" t="s">
        <v>106</v>
      </c>
    </row>
    <row r="73" spans="1:4">
      <c r="A73" t="s">
        <v>129</v>
      </c>
      <c r="B73" s="4">
        <v>46187</v>
      </c>
      <c r="C73" s="5">
        <v>9099.74</v>
      </c>
      <c r="D73" t="s">
        <v>130</v>
      </c>
    </row>
    <row r="74" spans="1:4">
      <c r="A74" t="s">
        <v>131</v>
      </c>
      <c r="B74" s="4">
        <v>46198</v>
      </c>
      <c r="C74" s="5">
        <v>11205.32</v>
      </c>
      <c r="D74" t="s">
        <v>38</v>
      </c>
    </row>
    <row r="75" spans="1:4">
      <c r="A75" t="s">
        <v>133</v>
      </c>
      <c r="B75" s="4">
        <v>46190</v>
      </c>
      <c r="C75" s="5">
        <v>6904.77</v>
      </c>
      <c r="D75" t="s">
        <v>55</v>
      </c>
    </row>
    <row r="76" spans="1:4">
      <c r="A76" t="s">
        <v>134</v>
      </c>
      <c r="B76" s="4">
        <v>46194</v>
      </c>
      <c r="C76" s="5">
        <v>7065.15</v>
      </c>
      <c r="D76" t="s">
        <v>20</v>
      </c>
    </row>
    <row r="77" spans="1:4">
      <c r="A77" t="s">
        <v>135</v>
      </c>
      <c r="B77" s="4">
        <v>46183</v>
      </c>
      <c r="C77" s="5">
        <v>18935.12</v>
      </c>
      <c r="D77" t="s">
        <v>136</v>
      </c>
    </row>
    <row r="78" spans="1:4">
      <c r="A78" t="s">
        <v>137</v>
      </c>
      <c r="B78" s="4">
        <v>46202</v>
      </c>
      <c r="C78" s="5">
        <v>9389.959999999999</v>
      </c>
      <c r="D78" t="s">
        <v>51</v>
      </c>
    </row>
    <row r="79" spans="1:4">
      <c r="A79" t="s">
        <v>138</v>
      </c>
      <c r="B79" s="4">
        <v>46189</v>
      </c>
      <c r="C79" s="5">
        <v>8702.07</v>
      </c>
      <c r="D79" t="s">
        <v>59</v>
      </c>
    </row>
    <row r="80" spans="1:4">
      <c r="A80" t="s">
        <v>139</v>
      </c>
      <c r="B80" s="4">
        <v>46180</v>
      </c>
      <c r="C80" s="5">
        <v>1884.2</v>
      </c>
      <c r="D80" t="s">
        <v>140</v>
      </c>
    </row>
    <row r="81" spans="1:4">
      <c r="A81" t="s">
        <v>141</v>
      </c>
      <c r="B81" s="4">
        <v>46202</v>
      </c>
      <c r="C81" s="5">
        <v>22786.4</v>
      </c>
      <c r="D81" t="s">
        <v>136</v>
      </c>
    </row>
    <row r="82" spans="1:4">
      <c r="A82" t="s">
        <v>142</v>
      </c>
      <c r="B82" s="4">
        <v>46186</v>
      </c>
      <c r="C82" s="5">
        <v>6334.12</v>
      </c>
      <c r="D82" t="s">
        <v>136</v>
      </c>
    </row>
    <row r="83" spans="1:4">
      <c r="A83" t="s">
        <v>143</v>
      </c>
      <c r="B83" s="4">
        <v>46198</v>
      </c>
      <c r="C83" s="5">
        <v>2048.97</v>
      </c>
      <c r="D83" t="s">
        <v>140</v>
      </c>
    </row>
    <row r="84" spans="1:4">
      <c r="A84" t="s">
        <v>144</v>
      </c>
      <c r="B84" s="4">
        <v>46176</v>
      </c>
      <c r="C84" s="5">
        <v>20167.16</v>
      </c>
      <c r="D84" t="s">
        <v>136</v>
      </c>
    </row>
    <row r="85" spans="1:4">
      <c r="A85" t="s">
        <v>145</v>
      </c>
      <c r="B85" s="4">
        <v>46189</v>
      </c>
      <c r="C85" s="5">
        <v>21278.24</v>
      </c>
      <c r="D85" t="s">
        <v>146</v>
      </c>
    </row>
    <row r="86" spans="1:4">
      <c r="A86" t="s">
        <v>147</v>
      </c>
      <c r="B86" s="4">
        <v>46194</v>
      </c>
      <c r="C86" s="5">
        <v>10347.94</v>
      </c>
      <c r="D86" t="s">
        <v>104</v>
      </c>
    </row>
    <row r="87" spans="1:4">
      <c r="A87" t="s">
        <v>148</v>
      </c>
      <c r="B87" s="4">
        <v>46192</v>
      </c>
      <c r="C87" s="5">
        <v>21161.17</v>
      </c>
      <c r="D87" t="s">
        <v>77</v>
      </c>
    </row>
    <row r="88" spans="1:4">
      <c r="A88" t="s">
        <v>149</v>
      </c>
      <c r="B88" s="4">
        <v>46203</v>
      </c>
      <c r="C88" s="5">
        <v>8750</v>
      </c>
      <c r="D88" t="s">
        <v>150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9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3" width="16.7109375" customWidth="1"/>
    <col min="4" max="5" width="18.7109375" customWidth="1"/>
    <col min="6" max="6" width="22.7109375" customWidth="1"/>
    <col min="7" max="7" width="18.7109375" customWidth="1"/>
  </cols>
  <sheetData>
    <row r="1" spans="1:7" ht="30" customHeight="1">
      <c r="A1" t="s">
        <v>15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</row>
    <row r="2" spans="1:7">
      <c r="A2" s="6" t="s">
        <v>19</v>
      </c>
      <c r="B2" s="4">
        <v>46188</v>
      </c>
      <c r="C2" s="5">
        <v>4238.9</v>
      </c>
      <c r="D2" s="5" cm="1">
        <f t="array" ref="D2">IFERROR(_xlfn.XLOOKUP(A2,Bank!$A:$A,Bank!$C:$C),0)</f>
        <v>4238.9</v>
      </c>
      <c r="E2" s="5">
        <f>C2-D2</f>
        <v>0.0</v>
      </c>
      <c r="F2" s="6" t="str">
        <f>IF(D2=0,"Missing in bank",IF(ABS(E2)&lt;0.001,"Exact",IF(ABS(E2)&lt;=0.1,"Tolerance","Exception")))</f>
        <v>Exact</v>
      </c>
      <c r="G2" s="6"/>
    </row>
    <row r="3" spans="1:7">
      <c r="A3" s="6" t="s">
        <v>21</v>
      </c>
      <c r="B3" s="4">
        <v>46193</v>
      </c>
      <c r="C3" s="5">
        <v>2854.52</v>
      </c>
      <c r="D3" s="5" cm="1">
        <f t="array" ref="D3">IFERROR(_xlfn.XLOOKUP(A3,Bank!$A:$A,Bank!$C:$C),0)</f>
        <v>2854.52</v>
      </c>
      <c r="E3" s="5">
        <f>C3-D3</f>
        <v>0.0</v>
      </c>
      <c r="F3" s="6" t="str">
        <f>IF(D3=0,"Missing in bank",IF(ABS(E3)&lt;0.001,"Exact",IF(ABS(E3)&lt;=0.1,"Tolerance","Exception")))</f>
        <v>Exact</v>
      </c>
      <c r="G3" s="6"/>
    </row>
    <row r="4" spans="1:7">
      <c r="A4" s="6" t="s">
        <v>23</v>
      </c>
      <c r="B4" s="4">
        <v>46178</v>
      </c>
      <c r="C4" s="5">
        <v>3462.45</v>
      </c>
      <c r="D4" s="5" cm="1">
        <f t="array" ref="D4">IFERROR(_xlfn.XLOOKUP(A4,Bank!$A:$A,Bank!$C:$C),0)</f>
        <v>3462.45</v>
      </c>
      <c r="E4" s="5">
        <f>C4-D4</f>
        <v>0.0</v>
      </c>
      <c r="F4" s="6" t="str">
        <f>IF(D4=0,"Missing in bank",IF(ABS(E4)&lt;0.001,"Exact",IF(ABS(E4)&lt;=0.1,"Tolerance","Exception")))</f>
        <v>Exact</v>
      </c>
      <c r="G4" s="6"/>
    </row>
    <row r="5" spans="1:7">
      <c r="A5" s="6" t="s">
        <v>25</v>
      </c>
      <c r="B5" s="4">
        <v>46185</v>
      </c>
      <c r="C5" s="5">
        <v>4293.22</v>
      </c>
      <c r="D5" s="5" cm="1">
        <f t="array" ref="D5">IFERROR(_xlfn.XLOOKUP(A5,Bank!$A:$A,Bank!$C:$C),0)</f>
        <v>4293.22</v>
      </c>
      <c r="E5" s="5">
        <f>C5-D5</f>
        <v>0.0</v>
      </c>
      <c r="F5" s="6" t="str">
        <f>IF(D5=0,"Missing in bank",IF(ABS(E5)&lt;0.001,"Exact",IF(ABS(E5)&lt;=0.1,"Tolerance","Exception")))</f>
        <v>Exact</v>
      </c>
      <c r="G5" s="6"/>
    </row>
    <row r="6" spans="1:7">
      <c r="A6" s="6" t="s">
        <v>27</v>
      </c>
      <c r="B6" s="4">
        <v>46183</v>
      </c>
      <c r="C6" s="5">
        <v>11581.1</v>
      </c>
      <c r="D6" s="5" cm="1">
        <f t="array" ref="D6">IFERROR(_xlfn.XLOOKUP(A6,Bank!$A:$A,Bank!$C:$C),0)</f>
        <v>11581.1</v>
      </c>
      <c r="E6" s="5">
        <f>C6-D6</f>
        <v>0.0</v>
      </c>
      <c r="F6" s="6" t="str">
        <f>IF(D6=0,"Missing in bank",IF(ABS(E6)&lt;0.001,"Exact",IF(ABS(E6)&lt;=0.1,"Tolerance","Exception")))</f>
        <v>Exact</v>
      </c>
      <c r="G6" s="6"/>
    </row>
    <row r="7" spans="1:7">
      <c r="A7" s="6" t="s">
        <v>28</v>
      </c>
      <c r="B7" s="4">
        <v>46191</v>
      </c>
      <c r="C7" s="5">
        <v>9628.99</v>
      </c>
      <c r="D7" s="5" cm="1">
        <f t="array" ref="D7">IFERROR(_xlfn.XLOOKUP(A7,Bank!$A:$A,Bank!$C:$C),0)</f>
        <v>9628.99</v>
      </c>
      <c r="E7" s="5">
        <f>C7-D7</f>
        <v>0.0</v>
      </c>
      <c r="F7" s="6" t="str">
        <f>IF(D7=0,"Missing in bank",IF(ABS(E7)&lt;0.001,"Exact",IF(ABS(E7)&lt;=0.1,"Tolerance","Exception")))</f>
        <v>Exact</v>
      </c>
      <c r="G7" s="6"/>
    </row>
    <row r="8" spans="1:7">
      <c r="A8" s="6" t="s">
        <v>30</v>
      </c>
      <c r="B8" s="4">
        <v>46191</v>
      </c>
      <c r="C8" s="5">
        <v>3096.65</v>
      </c>
      <c r="D8" s="5" cm="1">
        <f t="array" ref="D8">IFERROR(_xlfn.XLOOKUP(A8,Bank!$A:$A,Bank!$C:$C),0)</f>
        <v>3096.65</v>
      </c>
      <c r="E8" s="5">
        <f>C8-D8</f>
        <v>0.0</v>
      </c>
      <c r="F8" s="6" t="str">
        <f>IF(D8=0,"Missing in bank",IF(ABS(E8)&lt;0.001,"Exact",IF(ABS(E8)&lt;=0.1,"Tolerance","Exception")))</f>
        <v>Exact</v>
      </c>
      <c r="G8" s="6"/>
    </row>
    <row r="9" spans="1:7">
      <c r="A9" s="6" t="s">
        <v>32</v>
      </c>
      <c r="B9" s="4">
        <v>46177</v>
      </c>
      <c r="C9" s="5">
        <v>18972.37</v>
      </c>
      <c r="D9" s="5" cm="1">
        <f t="array" ref="D9">IFERROR(_xlfn.XLOOKUP(A9,Bank!$A:$A,Bank!$C:$C),0)</f>
        <v>0</v>
      </c>
      <c r="E9" s="5">
        <f>C9-D9</f>
        <v>18972.37</v>
      </c>
      <c r="F9" s="6" t="str">
        <f>IF(D9=0,"Missing in bank",IF(ABS(E9)&lt;0.001,"Exact",IF(ABS(E9)&lt;=0.1,"Tolerance","Exception")))</f>
        <v>Missing in bank</v>
      </c>
      <c r="G9" s="6" t="s">
        <v>157</v>
      </c>
    </row>
    <row r="10" spans="1:7">
      <c r="A10" s="6" t="s">
        <v>34</v>
      </c>
      <c r="B10" s="4">
        <v>46195</v>
      </c>
      <c r="C10" s="5">
        <v>7328.9</v>
      </c>
      <c r="D10" s="5" cm="1">
        <f t="array" ref="D10">IFERROR(_xlfn.XLOOKUP(A10,Bank!$A:$A,Bank!$C:$C),0)</f>
        <v>7328.9</v>
      </c>
      <c r="E10" s="5">
        <f>C10-D10</f>
        <v>0.0</v>
      </c>
      <c r="F10" s="6" t="str">
        <f>IF(D10=0,"Missing in bank",IF(ABS(E10)&lt;0.001,"Exact",IF(ABS(E10)&lt;=0.1,"Tolerance","Exception")))</f>
        <v>Exact</v>
      </c>
      <c r="G10" s="6"/>
    </row>
    <row r="11" spans="1:7">
      <c r="A11" s="6" t="s">
        <v>36</v>
      </c>
      <c r="B11" s="4">
        <v>46203</v>
      </c>
      <c r="C11" s="5">
        <v>24166.3</v>
      </c>
      <c r="D11" s="5" cm="1">
        <f t="array" ref="D11">IFERROR(_xlfn.XLOOKUP(A11,Bank!$A:$A,Bank!$C:$C),0)</f>
        <v>24166.3</v>
      </c>
      <c r="E11" s="5">
        <f>C11-D11</f>
        <v>0.0</v>
      </c>
      <c r="F11" s="6" t="str">
        <f>IF(D11=0,"Missing in bank",IF(ABS(E11)&lt;0.001,"Exact",IF(ABS(E11)&lt;=0.1,"Tolerance","Exception")))</f>
        <v>Exact</v>
      </c>
      <c r="G11" s="6"/>
    </row>
    <row r="12" spans="1:7">
      <c r="A12" s="6" t="s">
        <v>37</v>
      </c>
      <c r="B12" s="4">
        <v>46193</v>
      </c>
      <c r="C12" s="5">
        <v>3505.93</v>
      </c>
      <c r="D12" s="5" cm="1">
        <f t="array" ref="D12">IFERROR(_xlfn.XLOOKUP(A12,Bank!$A:$A,Bank!$C:$C),0)</f>
        <v>3505.93</v>
      </c>
      <c r="E12" s="5">
        <f>C12-D12</f>
        <v>0.0</v>
      </c>
      <c r="F12" s="6" t="str">
        <f>IF(D12=0,"Missing in bank",IF(ABS(E12)&lt;0.001,"Exact",IF(ABS(E12)&lt;=0.1,"Tolerance","Exception")))</f>
        <v>Exact</v>
      </c>
      <c r="G12" s="6"/>
    </row>
    <row r="13" spans="1:7">
      <c r="A13" s="6" t="s">
        <v>39</v>
      </c>
      <c r="B13" s="4">
        <v>46192</v>
      </c>
      <c r="C13" s="5">
        <v>6203.25</v>
      </c>
      <c r="D13" s="5" cm="1">
        <f t="array" ref="D13">IFERROR(_xlfn.XLOOKUP(A13,Bank!$A:$A,Bank!$C:$C),0)</f>
        <v>6203.25</v>
      </c>
      <c r="E13" s="5">
        <f>C13-D13</f>
        <v>0.0</v>
      </c>
      <c r="F13" s="6" t="str">
        <f>IF(D13=0,"Missing in bank",IF(ABS(E13)&lt;0.001,"Exact",IF(ABS(E13)&lt;=0.1,"Tolerance","Exception")))</f>
        <v>Exact</v>
      </c>
      <c r="G13" s="6"/>
    </row>
    <row r="14" spans="1:7">
      <c r="A14" s="6" t="s">
        <v>41</v>
      </c>
      <c r="B14" s="4">
        <v>46202</v>
      </c>
      <c r="C14" s="5">
        <v>10652.47</v>
      </c>
      <c r="D14" s="5" cm="1">
        <f t="array" ref="D14">IFERROR(_xlfn.XLOOKUP(A14,Bank!$A:$A,Bank!$C:$C),0)</f>
        <v>10652.47</v>
      </c>
      <c r="E14" s="5">
        <f>C14-D14</f>
        <v>0.0</v>
      </c>
      <c r="F14" s="6" t="str">
        <f>IF(D14=0,"Missing in bank",IF(ABS(E14)&lt;0.001,"Exact",IF(ABS(E14)&lt;=0.1,"Tolerance","Exception")))</f>
        <v>Exact</v>
      </c>
      <c r="G14" s="6"/>
    </row>
    <row r="15" spans="1:7">
      <c r="A15" s="6" t="s">
        <v>43</v>
      </c>
      <c r="B15" s="4">
        <v>46199</v>
      </c>
      <c r="C15" s="5">
        <v>20002.74</v>
      </c>
      <c r="D15" s="5" cm="1">
        <f t="array" ref="D15">IFERROR(_xlfn.XLOOKUP(A15,Bank!$A:$A,Bank!$C:$C),0)</f>
        <v>20002.74</v>
      </c>
      <c r="E15" s="5">
        <f>C15-D15</f>
        <v>0.0</v>
      </c>
      <c r="F15" s="6" t="str">
        <f>IF(D15=0,"Missing in bank",IF(ABS(E15)&lt;0.001,"Exact",IF(ABS(E15)&lt;=0.1,"Tolerance","Exception")))</f>
        <v>Exact</v>
      </c>
      <c r="G15" s="6"/>
    </row>
    <row r="16" spans="1:7">
      <c r="A16" s="6" t="s">
        <v>44</v>
      </c>
      <c r="B16" s="4">
        <v>46177</v>
      </c>
      <c r="C16" s="5">
        <v>18843.68</v>
      </c>
      <c r="D16" s="5" cm="1">
        <f t="array" ref="D16">IFERROR(_xlfn.XLOOKUP(A16,Bank!$A:$A,Bank!$C:$C),0)</f>
        <v>18843.68</v>
      </c>
      <c r="E16" s="5">
        <f>C16-D16</f>
        <v>0.0</v>
      </c>
      <c r="F16" s="6" t="str">
        <f>IF(D16=0,"Missing in bank",IF(ABS(E16)&lt;0.001,"Exact",IF(ABS(E16)&lt;=0.1,"Tolerance","Exception")))</f>
        <v>Exact</v>
      </c>
      <c r="G16" s="6"/>
    </row>
    <row r="17" spans="1:7">
      <c r="A17" s="6" t="s">
        <v>45</v>
      </c>
      <c r="B17" s="4">
        <v>46194</v>
      </c>
      <c r="C17" s="5">
        <v>23668.25</v>
      </c>
      <c r="D17" s="5" cm="1">
        <f t="array" ref="D17">IFERROR(_xlfn.XLOOKUP(A17,Bank!$A:$A,Bank!$C:$C),0)</f>
        <v>23668.17</v>
      </c>
      <c r="E17" s="5">
        <f>C17-D17</f>
        <v>0.08000000000174623</v>
      </c>
      <c r="F17" s="6" t="str">
        <f>IF(D17=0,"Missing in bank",IF(ABS(E17)&lt;0.001,"Exact",IF(ABS(E17)&lt;=0.1,"Tolerance","Exception")))</f>
        <v>Tolerance</v>
      </c>
      <c r="G17" s="6" t="s">
        <v>157</v>
      </c>
    </row>
    <row r="18" spans="1:7">
      <c r="A18" s="6" t="s">
        <v>46</v>
      </c>
      <c r="B18" s="4">
        <v>46179</v>
      </c>
      <c r="C18" s="5">
        <v>19776.42</v>
      </c>
      <c r="D18" s="5" cm="1">
        <f t="array" ref="D18">IFERROR(_xlfn.XLOOKUP(A18,Bank!$A:$A,Bank!$C:$C),0)</f>
        <v>19776.42</v>
      </c>
      <c r="E18" s="5">
        <f>C18-D18</f>
        <v>0.0</v>
      </c>
      <c r="F18" s="6" t="str">
        <f>IF(D18=0,"Missing in bank",IF(ABS(E18)&lt;0.001,"Exact",IF(ABS(E18)&lt;=0.1,"Tolerance","Exception")))</f>
        <v>Exact</v>
      </c>
      <c r="G18" s="6"/>
    </row>
    <row r="19" spans="1:7">
      <c r="A19" s="6" t="s">
        <v>47</v>
      </c>
      <c r="B19" s="4">
        <v>46184</v>
      </c>
      <c r="C19" s="5">
        <v>3027.58</v>
      </c>
      <c r="D19" s="5" cm="1">
        <f t="array" ref="D19">IFERROR(_xlfn.XLOOKUP(A19,Bank!$A:$A,Bank!$C:$C),0)</f>
        <v>3027.58</v>
      </c>
      <c r="E19" s="5">
        <f>C19-D19</f>
        <v>0.0</v>
      </c>
      <c r="F19" s="6" t="str">
        <f>IF(D19=0,"Missing in bank",IF(ABS(E19)&lt;0.001,"Exact",IF(ABS(E19)&lt;=0.1,"Tolerance","Exception")))</f>
        <v>Exact</v>
      </c>
      <c r="G19" s="6"/>
    </row>
    <row r="20" spans="1:7">
      <c r="A20" s="6" t="s">
        <v>48</v>
      </c>
      <c r="B20" s="4">
        <v>46192</v>
      </c>
      <c r="C20" s="5">
        <v>16426.24</v>
      </c>
      <c r="D20" s="5" cm="1">
        <f t="array" ref="D20">IFERROR(_xlfn.XLOOKUP(A20,Bank!$A:$A,Bank!$C:$C),0)</f>
        <v>16426.24</v>
      </c>
      <c r="E20" s="5">
        <f>C20-D20</f>
        <v>0.0</v>
      </c>
      <c r="F20" s="6" t="str">
        <f>IF(D20=0,"Missing in bank",IF(ABS(E20)&lt;0.001,"Exact",IF(ABS(E20)&lt;=0.1,"Tolerance","Exception")))</f>
        <v>Exact</v>
      </c>
      <c r="G20" s="6"/>
    </row>
    <row r="21" spans="1:7">
      <c r="A21" s="6" t="s">
        <v>50</v>
      </c>
      <c r="B21" s="4">
        <v>46192</v>
      </c>
      <c r="C21" s="5">
        <v>11094.78</v>
      </c>
      <c r="D21" s="5" cm="1">
        <f t="array" ref="D21">IFERROR(_xlfn.XLOOKUP(A21,Bank!$A:$A,Bank!$C:$C),0)</f>
        <v>11094.78</v>
      </c>
      <c r="E21" s="5">
        <f>C21-D21</f>
        <v>0.0</v>
      </c>
      <c r="F21" s="6" t="str">
        <f>IF(D21=0,"Missing in bank",IF(ABS(E21)&lt;0.001,"Exact",IF(ABS(E21)&lt;=0.1,"Tolerance","Exception")))</f>
        <v>Exact</v>
      </c>
      <c r="G21" s="6"/>
    </row>
    <row r="22" spans="1:7">
      <c r="A22" s="6" t="s">
        <v>52</v>
      </c>
      <c r="B22" s="4">
        <v>46198</v>
      </c>
      <c r="C22" s="5">
        <v>12126.64</v>
      </c>
      <c r="D22" s="5" cm="1">
        <f t="array" ref="D22">IFERROR(_xlfn.XLOOKUP(A22,Bank!$A:$A,Bank!$C:$C),0)</f>
        <v>12126.64</v>
      </c>
      <c r="E22" s="5">
        <f>C22-D22</f>
        <v>0.0</v>
      </c>
      <c r="F22" s="6" t="str">
        <f>IF(D22=0,"Missing in bank",IF(ABS(E22)&lt;0.001,"Exact",IF(ABS(E22)&lt;=0.1,"Tolerance","Exception")))</f>
        <v>Exact</v>
      </c>
      <c r="G22" s="6"/>
    </row>
    <row r="23" spans="1:7">
      <c r="A23" s="6" t="s">
        <v>54</v>
      </c>
      <c r="B23" s="4">
        <v>46184</v>
      </c>
      <c r="C23" s="5">
        <v>1912.22</v>
      </c>
      <c r="D23" s="5" cm="1">
        <f t="array" ref="D23">IFERROR(_xlfn.XLOOKUP(A23,Bank!$A:$A,Bank!$C:$C),0)</f>
        <v>1912.22</v>
      </c>
      <c r="E23" s="5">
        <f>C23-D23</f>
        <v>0.0</v>
      </c>
      <c r="F23" s="6" t="str">
        <f>IF(D23=0,"Missing in bank",IF(ABS(E23)&lt;0.001,"Exact",IF(ABS(E23)&lt;=0.1,"Tolerance","Exception")))</f>
        <v>Exact</v>
      </c>
      <c r="G23" s="6"/>
    </row>
    <row r="24" spans="1:7">
      <c r="A24" s="6" t="s">
        <v>56</v>
      </c>
      <c r="B24" s="4">
        <v>46181</v>
      </c>
      <c r="C24" s="5">
        <v>14066.36</v>
      </c>
      <c r="D24" s="5" cm="1">
        <f t="array" ref="D24">IFERROR(_xlfn.XLOOKUP(A24,Bank!$A:$A,Bank!$C:$C),0)</f>
        <v>0</v>
      </c>
      <c r="E24" s="5">
        <f>C24-D24</f>
        <v>14066.36</v>
      </c>
      <c r="F24" s="6" t="str">
        <f>IF(D24=0,"Missing in bank",IF(ABS(E24)&lt;0.001,"Exact",IF(ABS(E24)&lt;=0.1,"Tolerance","Exception")))</f>
        <v>Missing in bank</v>
      </c>
      <c r="G24" s="6" t="s">
        <v>157</v>
      </c>
    </row>
    <row r="25" spans="1:7">
      <c r="A25" s="6" t="s">
        <v>58</v>
      </c>
      <c r="B25" s="4">
        <v>46189</v>
      </c>
      <c r="C25" s="5">
        <v>7785.97</v>
      </c>
      <c r="D25" s="5" cm="1">
        <f t="array" ref="D25">IFERROR(_xlfn.XLOOKUP(A25,Bank!$A:$A,Bank!$C:$C),0)</f>
        <v>7785.97</v>
      </c>
      <c r="E25" s="5">
        <f>C25-D25</f>
        <v>0.0</v>
      </c>
      <c r="F25" s="6" t="str">
        <f>IF(D25=0,"Missing in bank",IF(ABS(E25)&lt;0.001,"Exact",IF(ABS(E25)&lt;=0.1,"Tolerance","Exception")))</f>
        <v>Exact</v>
      </c>
      <c r="G25" s="6"/>
    </row>
    <row r="26" spans="1:7">
      <c r="A26" s="6" t="s">
        <v>60</v>
      </c>
      <c r="B26" s="4">
        <v>46203</v>
      </c>
      <c r="C26" s="5">
        <v>16369.22</v>
      </c>
      <c r="D26" s="5" cm="1">
        <f t="array" ref="D26">IFERROR(_xlfn.XLOOKUP(A26,Bank!$A:$A,Bank!$C:$C),0)</f>
        <v>16369.22</v>
      </c>
      <c r="E26" s="5">
        <f>C26-D26</f>
        <v>0.0</v>
      </c>
      <c r="F26" s="6" t="str">
        <f>IF(D26=0,"Missing in bank",IF(ABS(E26)&lt;0.001,"Exact",IF(ABS(E26)&lt;=0.1,"Tolerance","Exception")))</f>
        <v>Exact</v>
      </c>
      <c r="G26" s="6"/>
    </row>
    <row r="27" spans="1:7">
      <c r="A27" s="6" t="s">
        <v>62</v>
      </c>
      <c r="B27" s="4">
        <v>46174</v>
      </c>
      <c r="C27" s="5">
        <v>4917.93</v>
      </c>
      <c r="D27" s="5" cm="1">
        <f t="array" ref="D27">IFERROR(_xlfn.XLOOKUP(A27,Bank!$A:$A,Bank!$C:$C),0)</f>
        <v>4917.93</v>
      </c>
      <c r="E27" s="5">
        <f>C27-D27</f>
        <v>0.0</v>
      </c>
      <c r="F27" s="6" t="str">
        <f>IF(D27=0,"Missing in bank",IF(ABS(E27)&lt;0.001,"Exact",IF(ABS(E27)&lt;=0.1,"Tolerance","Exception")))</f>
        <v>Exact</v>
      </c>
      <c r="G27" s="6"/>
    </row>
    <row r="28" spans="1:7">
      <c r="A28" s="6" t="s">
        <v>64</v>
      </c>
      <c r="B28" s="4">
        <v>46183</v>
      </c>
      <c r="C28" s="5">
        <v>6465.65</v>
      </c>
      <c r="D28" s="5" cm="1">
        <f t="array" ref="D28">IFERROR(_xlfn.XLOOKUP(A28,Bank!$A:$A,Bank!$C:$C),0)</f>
        <v>6465.65</v>
      </c>
      <c r="E28" s="5">
        <f>C28-D28</f>
        <v>0.0</v>
      </c>
      <c r="F28" s="6" t="str">
        <f>IF(D28=0,"Missing in bank",IF(ABS(E28)&lt;0.001,"Exact",IF(ABS(E28)&lt;=0.1,"Tolerance","Exception")))</f>
        <v>Exact</v>
      </c>
      <c r="G28" s="6"/>
    </row>
    <row r="29" spans="1:7">
      <c r="A29" s="6" t="s">
        <v>65</v>
      </c>
      <c r="B29" s="4">
        <v>46195</v>
      </c>
      <c r="C29" s="5">
        <v>1319.33</v>
      </c>
      <c r="D29" s="5" cm="1">
        <f t="array" ref="D29">IFERROR(_xlfn.XLOOKUP(A29,Bank!$A:$A,Bank!$C:$C),0)</f>
        <v>1319.33</v>
      </c>
      <c r="E29" s="5">
        <f>C29-D29</f>
        <v>0.0</v>
      </c>
      <c r="F29" s="6" t="str">
        <f>IF(D29=0,"Missing in bank",IF(ABS(E29)&lt;0.001,"Exact",IF(ABS(E29)&lt;=0.1,"Tolerance","Exception")))</f>
        <v>Exact</v>
      </c>
      <c r="G29" s="6"/>
    </row>
    <row r="30" spans="1:7">
      <c r="A30" s="6" t="s">
        <v>67</v>
      </c>
      <c r="B30" s="4">
        <v>46187</v>
      </c>
      <c r="C30" s="5">
        <v>9931.040000000001</v>
      </c>
      <c r="D30" s="5" cm="1">
        <f t="array" ref="D30">IFERROR(_xlfn.XLOOKUP(A30,Bank!$A:$A,Bank!$C:$C),0)</f>
        <v>9931.04</v>
      </c>
      <c r="E30" s="5">
        <f>C30-D30</f>
        <v>0.0</v>
      </c>
      <c r="F30" s="6" t="str">
        <f>IF(D30=0,"Missing in bank",IF(ABS(E30)&lt;0.001,"Exact",IF(ABS(E30)&lt;=0.1,"Tolerance","Exception")))</f>
        <v>Exact</v>
      </c>
      <c r="G30" s="6"/>
    </row>
    <row r="31" spans="1:7">
      <c r="A31" s="6" t="s">
        <v>68</v>
      </c>
      <c r="B31" s="4">
        <v>46177</v>
      </c>
      <c r="C31" s="5">
        <v>18429.25</v>
      </c>
      <c r="D31" s="5" cm="1">
        <f t="array" ref="D31">IFERROR(_xlfn.XLOOKUP(A31,Bank!$A:$A,Bank!$C:$C),0)</f>
        <v>18429.25</v>
      </c>
      <c r="E31" s="5">
        <f>C31-D31</f>
        <v>0.0</v>
      </c>
      <c r="F31" s="6" t="str">
        <f>IF(D31=0,"Missing in bank",IF(ABS(E31)&lt;0.001,"Exact",IF(ABS(E31)&lt;=0.1,"Tolerance","Exception")))</f>
        <v>Exact</v>
      </c>
      <c r="G31" s="6"/>
    </row>
    <row r="32" spans="1:7">
      <c r="A32" s="6" t="s">
        <v>70</v>
      </c>
      <c r="B32" s="4">
        <v>46191</v>
      </c>
      <c r="C32" s="5">
        <v>19622.89</v>
      </c>
      <c r="D32" s="5" cm="1">
        <f t="array" ref="D32">IFERROR(_xlfn.XLOOKUP(A32,Bank!$A:$A,Bank!$C:$C),0)</f>
        <v>19622.89</v>
      </c>
      <c r="E32" s="5">
        <f>C32-D32</f>
        <v>0.0</v>
      </c>
      <c r="F32" s="6" t="str">
        <f>IF(D32=0,"Missing in bank",IF(ABS(E32)&lt;0.001,"Exact",IF(ABS(E32)&lt;=0.1,"Tolerance","Exception")))</f>
        <v>Exact</v>
      </c>
      <c r="G32" s="6"/>
    </row>
    <row r="33" spans="1:7">
      <c r="A33" s="6" t="s">
        <v>72</v>
      </c>
      <c r="B33" s="4">
        <v>46178</v>
      </c>
      <c r="C33" s="5">
        <v>21396.69</v>
      </c>
      <c r="D33" s="5" cm="1">
        <f t="array" ref="D33">IFERROR(_xlfn.XLOOKUP(A33,Bank!$A:$A,Bank!$C:$C),0)</f>
        <v>21396.69</v>
      </c>
      <c r="E33" s="5">
        <f>C33-D33</f>
        <v>0.0</v>
      </c>
      <c r="F33" s="6" t="str">
        <f>IF(D33=0,"Missing in bank",IF(ABS(E33)&lt;0.001,"Exact",IF(ABS(E33)&lt;=0.1,"Tolerance","Exception")))</f>
        <v>Exact</v>
      </c>
      <c r="G33" s="6"/>
    </row>
    <row r="34" spans="1:7">
      <c r="A34" s="6" t="s">
        <v>74</v>
      </c>
      <c r="B34" s="4">
        <v>46174</v>
      </c>
      <c r="C34" s="5">
        <v>16098.8</v>
      </c>
      <c r="D34" s="5" cm="1">
        <f t="array" ref="D34">IFERROR(_xlfn.XLOOKUP(A34,Bank!$A:$A,Bank!$C:$C),0)</f>
        <v>16098.8</v>
      </c>
      <c r="E34" s="5">
        <f>C34-D34</f>
        <v>0.0</v>
      </c>
      <c r="F34" s="6" t="str">
        <f>IF(D34=0,"Missing in bank",IF(ABS(E34)&lt;0.001,"Exact",IF(ABS(E34)&lt;=0.1,"Tolerance","Exception")))</f>
        <v>Exact</v>
      </c>
      <c r="G34" s="6"/>
    </row>
    <row r="35" spans="1:7">
      <c r="A35" s="6" t="s">
        <v>76</v>
      </c>
      <c r="B35" s="4">
        <v>46180</v>
      </c>
      <c r="C35" s="5">
        <v>11901.93</v>
      </c>
      <c r="D35" s="5" cm="1">
        <f t="array" ref="D35">IFERROR(_xlfn.XLOOKUP(A35,Bank!$A:$A,Bank!$C:$C),0)</f>
        <v>11901.93</v>
      </c>
      <c r="E35" s="5">
        <f>C35-D35</f>
        <v>0.0</v>
      </c>
      <c r="F35" s="6" t="str">
        <f>IF(D35=0,"Missing in bank",IF(ABS(E35)&lt;0.001,"Exact",IF(ABS(E35)&lt;=0.1,"Tolerance","Exception")))</f>
        <v>Exact</v>
      </c>
      <c r="G35" s="6"/>
    </row>
    <row r="36" spans="1:7">
      <c r="A36" s="6" t="s">
        <v>78</v>
      </c>
      <c r="B36" s="4">
        <v>46195</v>
      </c>
      <c r="C36" s="5">
        <v>16498.73</v>
      </c>
      <c r="D36" s="5" cm="1">
        <f t="array" ref="D36">IFERROR(_xlfn.XLOOKUP(A36,Bank!$A:$A,Bank!$C:$C),0)</f>
        <v>16498.73</v>
      </c>
      <c r="E36" s="5">
        <f>C36-D36</f>
        <v>0.0</v>
      </c>
      <c r="F36" s="6" t="str">
        <f>IF(D36=0,"Missing in bank",IF(ABS(E36)&lt;0.001,"Exact",IF(ABS(E36)&lt;=0.1,"Tolerance","Exception")))</f>
        <v>Exact</v>
      </c>
      <c r="G36" s="6"/>
    </row>
    <row r="37" spans="1:7">
      <c r="A37" s="6" t="s">
        <v>79</v>
      </c>
      <c r="B37" s="4">
        <v>46180</v>
      </c>
      <c r="C37" s="5">
        <v>9852.309999999999</v>
      </c>
      <c r="D37" s="5" cm="1">
        <f t="array" ref="D37">IFERROR(_xlfn.XLOOKUP(A37,Bank!$A:$A,Bank!$C:$C),0)</f>
        <v>9852.31</v>
      </c>
      <c r="E37" s="5">
        <f>C37-D37</f>
        <v>0.0</v>
      </c>
      <c r="F37" s="6" t="str">
        <f>IF(D37=0,"Missing in bank",IF(ABS(E37)&lt;0.001,"Exact",IF(ABS(E37)&lt;=0.1,"Tolerance","Exception")))</f>
        <v>Exact</v>
      </c>
      <c r="G37" s="6"/>
    </row>
    <row r="38" spans="1:7">
      <c r="A38" s="6" t="s">
        <v>81</v>
      </c>
      <c r="B38" s="4">
        <v>46197</v>
      </c>
      <c r="C38" s="5">
        <v>9224.08</v>
      </c>
      <c r="D38" s="5" cm="1">
        <f t="array" ref="D38">IFERROR(_xlfn.XLOOKUP(A38,Bank!$A:$A,Bank!$C:$C),0)</f>
        <v>9224.08</v>
      </c>
      <c r="E38" s="5">
        <f>C38-D38</f>
        <v>0.0</v>
      </c>
      <c r="F38" s="6" t="str">
        <f>IF(D38=0,"Missing in bank",IF(ABS(E38)&lt;0.001,"Exact",IF(ABS(E38)&lt;=0.1,"Tolerance","Exception")))</f>
        <v>Exact</v>
      </c>
      <c r="G38" s="6"/>
    </row>
    <row r="39" spans="1:7">
      <c r="A39" s="6" t="s">
        <v>82</v>
      </c>
      <c r="B39" s="4">
        <v>46182</v>
      </c>
      <c r="C39" s="5">
        <v>9897.440000000001</v>
      </c>
      <c r="D39" s="5" cm="1">
        <f t="array" ref="D39">IFERROR(_xlfn.XLOOKUP(A39,Bank!$A:$A,Bank!$C:$C),0)</f>
        <v>9897.44</v>
      </c>
      <c r="E39" s="5">
        <f>C39-D39</f>
        <v>0.0</v>
      </c>
      <c r="F39" s="6" t="str">
        <f>IF(D39=0,"Missing in bank",IF(ABS(E39)&lt;0.001,"Exact",IF(ABS(E39)&lt;=0.1,"Tolerance","Exception")))</f>
        <v>Exact</v>
      </c>
      <c r="G39" s="6"/>
    </row>
    <row r="40" spans="1:7">
      <c r="A40" s="6" t="s">
        <v>83</v>
      </c>
      <c r="B40" s="4">
        <v>46185</v>
      </c>
      <c r="C40" s="5">
        <v>7776.2</v>
      </c>
      <c r="D40" s="5" cm="1">
        <f t="array" ref="D40">IFERROR(_xlfn.XLOOKUP(A40,Bank!$A:$A,Bank!$C:$C),0)</f>
        <v>7776.2</v>
      </c>
      <c r="E40" s="5">
        <f>C40-D40</f>
        <v>0.0</v>
      </c>
      <c r="F40" s="6" t="str">
        <f>IF(D40=0,"Missing in bank",IF(ABS(E40)&lt;0.001,"Exact",IF(ABS(E40)&lt;=0.1,"Tolerance","Exception")))</f>
        <v>Exact</v>
      </c>
      <c r="G40" s="6"/>
    </row>
    <row r="41" spans="1:7">
      <c r="A41" s="6" t="s">
        <v>84</v>
      </c>
      <c r="B41" s="4">
        <v>46178</v>
      </c>
      <c r="C41" s="5">
        <v>10790.05</v>
      </c>
      <c r="D41" s="5" cm="1">
        <f t="array" ref="D41">IFERROR(_xlfn.XLOOKUP(A41,Bank!$A:$A,Bank!$C:$C),0)</f>
        <v>10790.05</v>
      </c>
      <c r="E41" s="5">
        <f>C41-D41</f>
        <v>0.0</v>
      </c>
      <c r="F41" s="6" t="str">
        <f>IF(D41=0,"Missing in bank",IF(ABS(E41)&lt;0.001,"Exact",IF(ABS(E41)&lt;=0.1,"Tolerance","Exception")))</f>
        <v>Exact</v>
      </c>
      <c r="G41" s="6"/>
    </row>
    <row r="42" spans="1:7">
      <c r="A42" s="6" t="s">
        <v>86</v>
      </c>
      <c r="B42" s="4">
        <v>46180</v>
      </c>
      <c r="C42" s="5">
        <v>5340.27</v>
      </c>
      <c r="D42" s="5" cm="1">
        <f t="array" ref="D42">IFERROR(_xlfn.XLOOKUP(A42,Bank!$A:$A,Bank!$C:$C),0)</f>
        <v>5340.27</v>
      </c>
      <c r="E42" s="5">
        <f>C42-D42</f>
        <v>0.0</v>
      </c>
      <c r="F42" s="6" t="str">
        <f>IF(D42=0,"Missing in bank",IF(ABS(E42)&lt;0.001,"Exact",IF(ABS(E42)&lt;=0.1,"Tolerance","Exception")))</f>
        <v>Exact</v>
      </c>
      <c r="G42" s="6"/>
    </row>
    <row r="43" spans="1:7">
      <c r="A43" s="6" t="s">
        <v>87</v>
      </c>
      <c r="B43" s="4">
        <v>46200</v>
      </c>
      <c r="C43" s="5">
        <v>2023.27</v>
      </c>
      <c r="D43" s="5" cm="1">
        <f t="array" ref="D43">IFERROR(_xlfn.XLOOKUP(A43,Bank!$A:$A,Bank!$C:$C),0)</f>
        <v>2023.27</v>
      </c>
      <c r="E43" s="5">
        <f>C43-D43</f>
        <v>0.0</v>
      </c>
      <c r="F43" s="6" t="str">
        <f>IF(D43=0,"Missing in bank",IF(ABS(E43)&lt;0.001,"Exact",IF(ABS(E43)&lt;=0.1,"Tolerance","Exception")))</f>
        <v>Exact</v>
      </c>
      <c r="G43" s="6"/>
    </row>
    <row r="44" spans="1:7">
      <c r="A44" s="6" t="s">
        <v>88</v>
      </c>
      <c r="B44" s="4">
        <v>46183</v>
      </c>
      <c r="C44" s="5">
        <v>14789.76</v>
      </c>
      <c r="D44" s="5" cm="1">
        <f t="array" ref="D44">IFERROR(_xlfn.XLOOKUP(A44,Bank!$A:$A,Bank!$C:$C),0)</f>
        <v>14789.76</v>
      </c>
      <c r="E44" s="5">
        <f>C44-D44</f>
        <v>0.0</v>
      </c>
      <c r="F44" s="6" t="str">
        <f>IF(D44=0,"Missing in bank",IF(ABS(E44)&lt;0.001,"Exact",IF(ABS(E44)&lt;=0.1,"Tolerance","Exception")))</f>
        <v>Exact</v>
      </c>
      <c r="G44" s="6"/>
    </row>
    <row r="45" spans="1:7">
      <c r="A45" s="6" t="s">
        <v>89</v>
      </c>
      <c r="B45" s="4">
        <v>46193</v>
      </c>
      <c r="C45" s="5">
        <v>17655.46</v>
      </c>
      <c r="D45" s="5" cm="1">
        <f t="array" ref="D45">IFERROR(_xlfn.XLOOKUP(A45,Bank!$A:$A,Bank!$C:$C),0)</f>
        <v>17655.46</v>
      </c>
      <c r="E45" s="5">
        <f>C45-D45</f>
        <v>0.0</v>
      </c>
      <c r="F45" s="6" t="str">
        <f>IF(D45=0,"Missing in bank",IF(ABS(E45)&lt;0.001,"Exact",IF(ABS(E45)&lt;=0.1,"Tolerance","Exception")))</f>
        <v>Exact</v>
      </c>
      <c r="G45" s="6"/>
    </row>
    <row r="46" spans="1:7">
      <c r="A46" s="6" t="s">
        <v>91</v>
      </c>
      <c r="B46" s="4">
        <v>46187</v>
      </c>
      <c r="C46" s="5">
        <v>17110.44</v>
      </c>
      <c r="D46" s="5" cm="1">
        <f t="array" ref="D46">IFERROR(_xlfn.XLOOKUP(A46,Bank!$A:$A,Bank!$C:$C),0)</f>
        <v>17110.489999999998</v>
      </c>
      <c r="E46" s="5">
        <f>C46-D46</f>
        <v>-0.049999999999272404</v>
      </c>
      <c r="F46" s="6" t="str">
        <f>IF(D46=0,"Missing in bank",IF(ABS(E46)&lt;0.001,"Exact",IF(ABS(E46)&lt;=0.1,"Tolerance","Exception")))</f>
        <v>Tolerance</v>
      </c>
      <c r="G46" s="6" t="s">
        <v>157</v>
      </c>
    </row>
    <row r="47" spans="1:7">
      <c r="A47" s="6" t="s">
        <v>92</v>
      </c>
      <c r="B47" s="4">
        <v>46188</v>
      </c>
      <c r="C47" s="5">
        <v>15389.79</v>
      </c>
      <c r="D47" s="5" cm="1">
        <f t="array" ref="D47">IFERROR(_xlfn.XLOOKUP(A47,Bank!$A:$A,Bank!$C:$C),0)</f>
        <v>15389.79</v>
      </c>
      <c r="E47" s="5">
        <f>C47-D47</f>
        <v>0.0</v>
      </c>
      <c r="F47" s="6" t="str">
        <f>IF(D47=0,"Missing in bank",IF(ABS(E47)&lt;0.001,"Exact",IF(ABS(E47)&lt;=0.1,"Tolerance","Exception")))</f>
        <v>Exact</v>
      </c>
      <c r="G47" s="6"/>
    </row>
    <row r="48" spans="1:7">
      <c r="A48" s="6" t="s">
        <v>94</v>
      </c>
      <c r="B48" s="4">
        <v>46175</v>
      </c>
      <c r="C48" s="5">
        <v>10561.79</v>
      </c>
      <c r="D48" s="5" cm="1">
        <f t="array" ref="D48">IFERROR(_xlfn.XLOOKUP(A48,Bank!$A:$A,Bank!$C:$C),0)</f>
        <v>10561.79</v>
      </c>
      <c r="E48" s="5">
        <f>C48-D48</f>
        <v>0.0</v>
      </c>
      <c r="F48" s="6" t="str">
        <f>IF(D48=0,"Missing in bank",IF(ABS(E48)&lt;0.001,"Exact",IF(ABS(E48)&lt;=0.1,"Tolerance","Exception")))</f>
        <v>Exact</v>
      </c>
      <c r="G48" s="6"/>
    </row>
    <row r="49" spans="1:7">
      <c r="A49" s="6" t="s">
        <v>95</v>
      </c>
      <c r="B49" s="4">
        <v>46202</v>
      </c>
      <c r="C49" s="5">
        <v>5010.74</v>
      </c>
      <c r="D49" s="5" cm="1">
        <f t="array" ref="D49">IFERROR(_xlfn.XLOOKUP(A49,Bank!$A:$A,Bank!$C:$C),0)</f>
        <v>5010.74</v>
      </c>
      <c r="E49" s="5">
        <f>C49-D49</f>
        <v>0.0</v>
      </c>
      <c r="F49" s="6" t="str">
        <f>IF(D49=0,"Missing in bank",IF(ABS(E49)&lt;0.001,"Exact",IF(ABS(E49)&lt;=0.1,"Tolerance","Exception")))</f>
        <v>Exact</v>
      </c>
      <c r="G49" s="6"/>
    </row>
    <row r="50" spans="1:7">
      <c r="A50" s="6" t="s">
        <v>96</v>
      </c>
      <c r="B50" s="4">
        <v>46202</v>
      </c>
      <c r="C50" s="5">
        <v>1352.99</v>
      </c>
      <c r="D50" s="5" cm="1">
        <f t="array" ref="D50">IFERROR(_xlfn.XLOOKUP(A50,Bank!$A:$A,Bank!$C:$C),0)</f>
        <v>1352.99</v>
      </c>
      <c r="E50" s="5">
        <f>C50-D50</f>
        <v>0.0</v>
      </c>
      <c r="F50" s="6" t="str">
        <f>IF(D50=0,"Missing in bank",IF(ABS(E50)&lt;0.001,"Exact",IF(ABS(E50)&lt;=0.1,"Tolerance","Exception")))</f>
        <v>Exact</v>
      </c>
      <c r="G50" s="6"/>
    </row>
    <row r="51" spans="1:7">
      <c r="A51" s="6" t="s">
        <v>98</v>
      </c>
      <c r="B51" s="4">
        <v>46197</v>
      </c>
      <c r="C51" s="5">
        <v>1858.96</v>
      </c>
      <c r="D51" s="5" cm="1">
        <f t="array" ref="D51">IFERROR(_xlfn.XLOOKUP(A51,Bank!$A:$A,Bank!$C:$C),0)</f>
        <v>1858.96</v>
      </c>
      <c r="E51" s="5">
        <f>C51-D51</f>
        <v>0.0</v>
      </c>
      <c r="F51" s="6" t="str">
        <f>IF(D51=0,"Missing in bank",IF(ABS(E51)&lt;0.001,"Exact",IF(ABS(E51)&lt;=0.1,"Tolerance","Exception")))</f>
        <v>Exact</v>
      </c>
      <c r="G51" s="6"/>
    </row>
    <row r="52" spans="1:7">
      <c r="A52" s="6" t="s">
        <v>100</v>
      </c>
      <c r="B52" s="4">
        <v>46174</v>
      </c>
      <c r="C52" s="5">
        <v>8217.200000000001</v>
      </c>
      <c r="D52" s="5" cm="1">
        <f t="array" ref="D52">IFERROR(_xlfn.XLOOKUP(A52,Bank!$A:$A,Bank!$C:$C),0)</f>
        <v>8217.2</v>
      </c>
      <c r="E52" s="5">
        <f>C52-D52</f>
        <v>0.0</v>
      </c>
      <c r="F52" s="6" t="str">
        <f>IF(D52=0,"Missing in bank",IF(ABS(E52)&lt;0.001,"Exact",IF(ABS(E52)&lt;=0.1,"Tolerance","Exception")))</f>
        <v>Exact</v>
      </c>
      <c r="G52" s="6"/>
    </row>
    <row r="53" spans="1:7">
      <c r="A53" s="6" t="s">
        <v>101</v>
      </c>
      <c r="B53" s="4">
        <v>46178</v>
      </c>
      <c r="C53" s="5">
        <v>21149.94</v>
      </c>
      <c r="D53" s="5" cm="1">
        <f t="array" ref="D53">IFERROR(_xlfn.XLOOKUP(A53,Bank!$A:$A,Bank!$C:$C),0)</f>
        <v>21149.94</v>
      </c>
      <c r="E53" s="5">
        <f>C53-D53</f>
        <v>0.0</v>
      </c>
      <c r="F53" s="6" t="str">
        <f>IF(D53=0,"Missing in bank",IF(ABS(E53)&lt;0.001,"Exact",IF(ABS(E53)&lt;=0.1,"Tolerance","Exception")))</f>
        <v>Exact</v>
      </c>
      <c r="G53" s="6"/>
    </row>
    <row r="54" spans="1:7">
      <c r="A54" s="6" t="s">
        <v>102</v>
      </c>
      <c r="B54" s="4">
        <v>46187</v>
      </c>
      <c r="C54" s="5">
        <v>16699.77</v>
      </c>
      <c r="D54" s="5" cm="1">
        <f t="array" ref="D54">IFERROR(_xlfn.XLOOKUP(A54,Bank!$A:$A,Bank!$C:$C),0)</f>
        <v>16699.77</v>
      </c>
      <c r="E54" s="5">
        <f>C54-D54</f>
        <v>0.0</v>
      </c>
      <c r="F54" s="6" t="str">
        <f>IF(D54=0,"Missing in bank",IF(ABS(E54)&lt;0.001,"Exact",IF(ABS(E54)&lt;=0.1,"Tolerance","Exception")))</f>
        <v>Exact</v>
      </c>
      <c r="G54" s="6"/>
    </row>
    <row r="55" spans="1:7">
      <c r="A55" s="6" t="s">
        <v>103</v>
      </c>
      <c r="B55" s="4">
        <v>46185</v>
      </c>
      <c r="C55" s="5">
        <v>4776.94</v>
      </c>
      <c r="D55" s="5" cm="1">
        <f t="array" ref="D55">IFERROR(_xlfn.XLOOKUP(A55,Bank!$A:$A,Bank!$C:$C),0)</f>
        <v>4776.94</v>
      </c>
      <c r="E55" s="5">
        <f>C55-D55</f>
        <v>0.0</v>
      </c>
      <c r="F55" s="6" t="str">
        <f>IF(D55=0,"Missing in bank",IF(ABS(E55)&lt;0.001,"Exact",IF(ABS(E55)&lt;=0.1,"Tolerance","Exception")))</f>
        <v>Exact</v>
      </c>
      <c r="G55" s="6"/>
    </row>
    <row r="56" spans="1:7">
      <c r="A56" s="6" t="s">
        <v>105</v>
      </c>
      <c r="B56" s="4">
        <v>46189</v>
      </c>
      <c r="C56" s="5">
        <v>6589.03</v>
      </c>
      <c r="D56" s="5" cm="1">
        <f t="array" ref="D56">IFERROR(_xlfn.XLOOKUP(A56,Bank!$A:$A,Bank!$C:$C),0)</f>
        <v>6589.03</v>
      </c>
      <c r="E56" s="5">
        <f>C56-D56</f>
        <v>0.0</v>
      </c>
      <c r="F56" s="6" t="str">
        <f>IF(D56=0,"Missing in bank",IF(ABS(E56)&lt;0.001,"Exact",IF(ABS(E56)&lt;=0.1,"Tolerance","Exception")))</f>
        <v>Exact</v>
      </c>
      <c r="G56" s="6"/>
    </row>
    <row r="57" spans="1:7">
      <c r="A57" s="6" t="s">
        <v>107</v>
      </c>
      <c r="B57" s="4">
        <v>46195</v>
      </c>
      <c r="C57" s="5">
        <v>10920.66</v>
      </c>
      <c r="D57" s="5" cm="1">
        <f t="array" ref="D57">IFERROR(_xlfn.XLOOKUP(A57,Bank!$A:$A,Bank!$C:$C),0)</f>
        <v>10920.66</v>
      </c>
      <c r="E57" s="5">
        <f>C57-D57</f>
        <v>0.0</v>
      </c>
      <c r="F57" s="6" t="str">
        <f>IF(D57=0,"Missing in bank",IF(ABS(E57)&lt;0.001,"Exact",IF(ABS(E57)&lt;=0.1,"Tolerance","Exception")))</f>
        <v>Exact</v>
      </c>
      <c r="G57" s="6"/>
    </row>
    <row r="58" spans="1:7">
      <c r="A58" s="6" t="s">
        <v>108</v>
      </c>
      <c r="B58" s="4">
        <v>46193</v>
      </c>
      <c r="C58" s="5">
        <v>13427.53</v>
      </c>
      <c r="D58" s="5" cm="1">
        <f t="array" ref="D58">IFERROR(_xlfn.XLOOKUP(A58,Bank!$A:$A,Bank!$C:$C),0)</f>
        <v>13427.53</v>
      </c>
      <c r="E58" s="5">
        <f>C58-D58</f>
        <v>0.0</v>
      </c>
      <c r="F58" s="6" t="str">
        <f>IF(D58=0,"Missing in bank",IF(ABS(E58)&lt;0.001,"Exact",IF(ABS(E58)&lt;=0.1,"Tolerance","Exception")))</f>
        <v>Exact</v>
      </c>
      <c r="G58" s="6"/>
    </row>
    <row r="59" spans="1:7">
      <c r="A59" s="6" t="s">
        <v>109</v>
      </c>
      <c r="B59" s="4">
        <v>46181</v>
      </c>
      <c r="C59" s="5">
        <v>11151.26</v>
      </c>
      <c r="D59" s="5" cm="1">
        <f t="array" ref="D59">IFERROR(_xlfn.XLOOKUP(A59,Bank!$A:$A,Bank!$C:$C),0)</f>
        <v>11151.26</v>
      </c>
      <c r="E59" s="5">
        <f>C59-D59</f>
        <v>0.0</v>
      </c>
      <c r="F59" s="6" t="str">
        <f>IF(D59=0,"Missing in bank",IF(ABS(E59)&lt;0.001,"Exact",IF(ABS(E59)&lt;=0.1,"Tolerance","Exception")))</f>
        <v>Exact</v>
      </c>
      <c r="G59" s="6"/>
    </row>
    <row r="60" spans="1:7">
      <c r="A60" s="6" t="s">
        <v>110</v>
      </c>
      <c r="B60" s="4">
        <v>46198</v>
      </c>
      <c r="C60" s="5">
        <v>13628.46</v>
      </c>
      <c r="D60" s="5" cm="1">
        <f t="array" ref="D60">IFERROR(_xlfn.XLOOKUP(A60,Bank!$A:$A,Bank!$C:$C),0)</f>
        <v>0</v>
      </c>
      <c r="E60" s="5">
        <f>C60-D60</f>
        <v>13628.46</v>
      </c>
      <c r="F60" s="6" t="str">
        <f>IF(D60=0,"Missing in bank",IF(ABS(E60)&lt;0.001,"Exact",IF(ABS(E60)&lt;=0.1,"Tolerance","Exception")))</f>
        <v>Missing in bank</v>
      </c>
      <c r="G60" s="6" t="s">
        <v>157</v>
      </c>
    </row>
    <row r="61" spans="1:7">
      <c r="A61" s="6" t="s">
        <v>111</v>
      </c>
      <c r="B61" s="4">
        <v>46195</v>
      </c>
      <c r="C61" s="5">
        <v>18440.28</v>
      </c>
      <c r="D61" s="5" cm="1">
        <f t="array" ref="D61">IFERROR(_xlfn.XLOOKUP(A61,Bank!$A:$A,Bank!$C:$C),0)</f>
        <v>18440.28</v>
      </c>
      <c r="E61" s="5">
        <f>C61-D61</f>
        <v>0.0</v>
      </c>
      <c r="F61" s="6" t="str">
        <f>IF(D61=0,"Missing in bank",IF(ABS(E61)&lt;0.001,"Exact",IF(ABS(E61)&lt;=0.1,"Tolerance","Exception")))</f>
        <v>Exact</v>
      </c>
      <c r="G61" s="6"/>
    </row>
    <row r="62" spans="1:7">
      <c r="A62" s="6" t="s">
        <v>112</v>
      </c>
      <c r="B62" s="4">
        <v>46200</v>
      </c>
      <c r="C62" s="5">
        <v>9591.83</v>
      </c>
      <c r="D62" s="5" cm="1">
        <f t="array" ref="D62">IFERROR(_xlfn.XLOOKUP(A62,Bank!$A:$A,Bank!$C:$C),0)</f>
        <v>9591.83</v>
      </c>
      <c r="E62" s="5">
        <f>C62-D62</f>
        <v>0.0</v>
      </c>
      <c r="F62" s="6" t="str">
        <f>IF(D62=0,"Missing in bank",IF(ABS(E62)&lt;0.001,"Exact",IF(ABS(E62)&lt;=0.1,"Tolerance","Exception")))</f>
        <v>Exact</v>
      </c>
      <c r="G62" s="6"/>
    </row>
    <row r="63" spans="1:7">
      <c r="A63" s="6" t="s">
        <v>114</v>
      </c>
      <c r="B63" s="4">
        <v>46199</v>
      </c>
      <c r="C63" s="5">
        <v>20161.07</v>
      </c>
      <c r="D63" s="5" cm="1">
        <f t="array" ref="D63">IFERROR(_xlfn.XLOOKUP(A63,Bank!$A:$A,Bank!$C:$C),0)</f>
        <v>20161.07</v>
      </c>
      <c r="E63" s="5">
        <f>C63-D63</f>
        <v>0.0</v>
      </c>
      <c r="F63" s="6" t="str">
        <f>IF(D63=0,"Missing in bank",IF(ABS(E63)&lt;0.001,"Exact",IF(ABS(E63)&lt;=0.1,"Tolerance","Exception")))</f>
        <v>Exact</v>
      </c>
      <c r="G63" s="6"/>
    </row>
    <row r="64" spans="1:7">
      <c r="A64" s="6" t="s">
        <v>115</v>
      </c>
      <c r="B64" s="4">
        <v>46175</v>
      </c>
      <c r="C64" s="5">
        <v>4896.57</v>
      </c>
      <c r="D64" s="5" cm="1">
        <f t="array" ref="D64">IFERROR(_xlfn.XLOOKUP(A64,Bank!$A:$A,Bank!$C:$C),0)</f>
        <v>4896.57</v>
      </c>
      <c r="E64" s="5">
        <f>C64-D64</f>
        <v>0.0</v>
      </c>
      <c r="F64" s="6" t="str">
        <f>IF(D64=0,"Missing in bank",IF(ABS(E64)&lt;0.001,"Exact",IF(ABS(E64)&lt;=0.1,"Tolerance","Exception")))</f>
        <v>Exact</v>
      </c>
      <c r="G64" s="6"/>
    </row>
    <row r="65" spans="1:7">
      <c r="A65" s="6" t="s">
        <v>116</v>
      </c>
      <c r="B65" s="4">
        <v>46174</v>
      </c>
      <c r="C65" s="5">
        <v>21077.23</v>
      </c>
      <c r="D65" s="5" cm="1">
        <f t="array" ref="D65">IFERROR(_xlfn.XLOOKUP(A65,Bank!$A:$A,Bank!$C:$C),0)</f>
        <v>21077.23</v>
      </c>
      <c r="E65" s="5">
        <f>C65-D65</f>
        <v>0.0</v>
      </c>
      <c r="F65" s="6" t="str">
        <f>IF(D65=0,"Missing in bank",IF(ABS(E65)&lt;0.001,"Exact",IF(ABS(E65)&lt;=0.1,"Tolerance","Exception")))</f>
        <v>Exact</v>
      </c>
      <c r="G65" s="6"/>
    </row>
    <row r="66" spans="1:7">
      <c r="A66" s="6" t="s">
        <v>117</v>
      </c>
      <c r="B66" s="4">
        <v>46193</v>
      </c>
      <c r="C66" s="5">
        <v>21747.95</v>
      </c>
      <c r="D66" s="5" cm="1">
        <f t="array" ref="D66">IFERROR(_xlfn.XLOOKUP(A66,Bank!$A:$A,Bank!$C:$C),0)</f>
        <v>21747.95</v>
      </c>
      <c r="E66" s="5">
        <f>C66-D66</f>
        <v>0.0</v>
      </c>
      <c r="F66" s="6" t="str">
        <f>IF(D66=0,"Missing in bank",IF(ABS(E66)&lt;0.001,"Exact",IF(ABS(E66)&lt;=0.1,"Tolerance","Exception")))</f>
        <v>Exact</v>
      </c>
      <c r="G66" s="6"/>
    </row>
    <row r="67" spans="1:7">
      <c r="A67" s="6" t="s">
        <v>118</v>
      </c>
      <c r="B67" s="4">
        <v>46202</v>
      </c>
      <c r="C67" s="5">
        <v>17248.85</v>
      </c>
      <c r="D67" s="5" cm="1">
        <f t="array" ref="D67">IFERROR(_xlfn.XLOOKUP(A67,Bank!$A:$A,Bank!$C:$C),0)</f>
        <v>17248.85</v>
      </c>
      <c r="E67" s="5">
        <f>C67-D67</f>
        <v>0.0</v>
      </c>
      <c r="F67" s="6" t="str">
        <f>IF(D67=0,"Missing in bank",IF(ABS(E67)&lt;0.001,"Exact",IF(ABS(E67)&lt;=0.1,"Tolerance","Exception")))</f>
        <v>Exact</v>
      </c>
      <c r="G67" s="6"/>
    </row>
    <row r="68" spans="1:7">
      <c r="A68" s="6" t="s">
        <v>120</v>
      </c>
      <c r="B68" s="4">
        <v>46174</v>
      </c>
      <c r="C68" s="5">
        <v>4718.79</v>
      </c>
      <c r="D68" s="5" cm="1">
        <f t="array" ref="D68">IFERROR(_xlfn.XLOOKUP(A68,Bank!$A:$A,Bank!$C:$C),0)</f>
        <v>4718.79</v>
      </c>
      <c r="E68" s="5">
        <f>C68-D68</f>
        <v>0.0</v>
      </c>
      <c r="F68" s="6" t="str">
        <f>IF(D68=0,"Missing in bank",IF(ABS(E68)&lt;0.001,"Exact",IF(ABS(E68)&lt;=0.1,"Tolerance","Exception")))</f>
        <v>Exact</v>
      </c>
      <c r="G68" s="6"/>
    </row>
    <row r="69" spans="1:7">
      <c r="A69" s="6" t="s">
        <v>121</v>
      </c>
      <c r="B69" s="4">
        <v>46185</v>
      </c>
      <c r="C69" s="5">
        <v>10944.89</v>
      </c>
      <c r="D69" s="5" cm="1">
        <f t="array" ref="D69">IFERROR(_xlfn.XLOOKUP(A69,Bank!$A:$A,Bank!$C:$C),0)</f>
        <v>10944.89</v>
      </c>
      <c r="E69" s="5">
        <f>C69-D69</f>
        <v>0.0</v>
      </c>
      <c r="F69" s="6" t="str">
        <f>IF(D69=0,"Missing in bank",IF(ABS(E69)&lt;0.001,"Exact",IF(ABS(E69)&lt;=0.1,"Tolerance","Exception")))</f>
        <v>Exact</v>
      </c>
      <c r="G69" s="6"/>
    </row>
    <row r="70" spans="1:7">
      <c r="A70" s="6" t="s">
        <v>122</v>
      </c>
      <c r="B70" s="4">
        <v>46191</v>
      </c>
      <c r="C70" s="5">
        <v>1507.02</v>
      </c>
      <c r="D70" s="5" cm="1">
        <f t="array" ref="D70">IFERROR(_xlfn.XLOOKUP(A70,Bank!$A:$A,Bank!$C:$C),0)</f>
        <v>1507.02</v>
      </c>
      <c r="E70" s="5">
        <f>C70-D70</f>
        <v>0.0</v>
      </c>
      <c r="F70" s="6" t="str">
        <f>IF(D70=0,"Missing in bank",IF(ABS(E70)&lt;0.001,"Exact",IF(ABS(E70)&lt;=0.1,"Tolerance","Exception")))</f>
        <v>Exact</v>
      </c>
      <c r="G70" s="6"/>
    </row>
    <row r="71" spans="1:7">
      <c r="A71" s="6" t="s">
        <v>123</v>
      </c>
      <c r="B71" s="4">
        <v>46201</v>
      </c>
      <c r="C71" s="5">
        <v>23684.87</v>
      </c>
      <c r="D71" s="5" cm="1">
        <f t="array" ref="D71">IFERROR(_xlfn.XLOOKUP(A71,Bank!$A:$A,Bank!$C:$C),0)</f>
        <v>23684.87</v>
      </c>
      <c r="E71" s="5">
        <f>C71-D71</f>
        <v>0.0</v>
      </c>
      <c r="F71" s="6" t="str">
        <f>IF(D71=0,"Missing in bank",IF(ABS(E71)&lt;0.001,"Exact",IF(ABS(E71)&lt;=0.1,"Tolerance","Exception")))</f>
        <v>Exact</v>
      </c>
      <c r="G71" s="6"/>
    </row>
    <row r="72" spans="1:7">
      <c r="A72" s="6" t="s">
        <v>124</v>
      </c>
      <c r="B72" s="4">
        <v>46203</v>
      </c>
      <c r="C72" s="5">
        <v>7915.5</v>
      </c>
      <c r="D72" s="5" cm="1">
        <f t="array" ref="D72">IFERROR(_xlfn.XLOOKUP(A72,Bank!$A:$A,Bank!$C:$C),0)</f>
        <v>7915.5</v>
      </c>
      <c r="E72" s="5">
        <f>C72-D72</f>
        <v>0.0</v>
      </c>
      <c r="F72" s="6" t="str">
        <f>IF(D72=0,"Missing in bank",IF(ABS(E72)&lt;0.001,"Exact",IF(ABS(E72)&lt;=0.1,"Tolerance","Exception")))</f>
        <v>Exact</v>
      </c>
      <c r="G72" s="6"/>
    </row>
    <row r="73" spans="1:7">
      <c r="A73" s="6" t="s">
        <v>125</v>
      </c>
      <c r="B73" s="4">
        <v>46186</v>
      </c>
      <c r="C73" s="5">
        <v>21098.35</v>
      </c>
      <c r="D73" s="5" cm="1">
        <f t="array" ref="D73">IFERROR(_xlfn.XLOOKUP(A73,Bank!$A:$A,Bank!$C:$C),0)</f>
        <v>21098.35</v>
      </c>
      <c r="E73" s="5">
        <f>C73-D73</f>
        <v>0.0</v>
      </c>
      <c r="F73" s="6" t="str">
        <f>IF(D73=0,"Missing in bank",IF(ABS(E73)&lt;0.001,"Exact",IF(ABS(E73)&lt;=0.1,"Tolerance","Exception")))</f>
        <v>Exact</v>
      </c>
      <c r="G73" s="6"/>
    </row>
    <row r="74" spans="1:7">
      <c r="A74" s="6" t="s">
        <v>126</v>
      </c>
      <c r="B74" s="4">
        <v>46174</v>
      </c>
      <c r="C74" s="5">
        <v>12422.81</v>
      </c>
      <c r="D74" s="5" cm="1">
        <f t="array" ref="D74">IFERROR(_xlfn.XLOOKUP(A74,Bank!$A:$A,Bank!$C:$C),0)</f>
        <v>12422.81</v>
      </c>
      <c r="E74" s="5">
        <f>C74-D74</f>
        <v>0.0</v>
      </c>
      <c r="F74" s="6" t="str">
        <f>IF(D74=0,"Missing in bank",IF(ABS(E74)&lt;0.001,"Exact",IF(ABS(E74)&lt;=0.1,"Tolerance","Exception")))</f>
        <v>Exact</v>
      </c>
      <c r="G74" s="6"/>
    </row>
    <row r="75" spans="1:7">
      <c r="A75" s="6" t="s">
        <v>128</v>
      </c>
      <c r="B75" s="4">
        <v>46174</v>
      </c>
      <c r="C75" s="5">
        <v>23563</v>
      </c>
      <c r="D75" s="5" cm="1">
        <f t="array" ref="D75">IFERROR(_xlfn.XLOOKUP(A75,Bank!$A:$A,Bank!$C:$C),0)</f>
        <v>23563.0</v>
      </c>
      <c r="E75" s="5">
        <f>C75-D75</f>
        <v>0.0</v>
      </c>
      <c r="F75" s="6" t="str">
        <f>IF(D75=0,"Missing in bank",IF(ABS(E75)&lt;0.001,"Exact",IF(ABS(E75)&lt;=0.1,"Tolerance","Exception")))</f>
        <v>Exact</v>
      </c>
      <c r="G75" s="6"/>
    </row>
    <row r="76" spans="1:7">
      <c r="A76" s="6" t="s">
        <v>129</v>
      </c>
      <c r="B76" s="4">
        <v>46187</v>
      </c>
      <c r="C76" s="5">
        <v>9099.74</v>
      </c>
      <c r="D76" s="5" cm="1">
        <f t="array" ref="D76">IFERROR(_xlfn.XLOOKUP(A76,Bank!$A:$A,Bank!$C:$C),0)</f>
        <v>9099.74</v>
      </c>
      <c r="E76" s="5">
        <f>C76-D76</f>
        <v>0.0</v>
      </c>
      <c r="F76" s="6" t="str">
        <f>IF(D76=0,"Missing in bank",IF(ABS(E76)&lt;0.001,"Exact",IF(ABS(E76)&lt;=0.1,"Tolerance","Exception")))</f>
        <v>Exact</v>
      </c>
      <c r="G76" s="6"/>
    </row>
    <row r="77" spans="1:7">
      <c r="A77" s="6" t="s">
        <v>131</v>
      </c>
      <c r="B77" s="4">
        <v>46197</v>
      </c>
      <c r="C77" s="5">
        <v>11205.32</v>
      </c>
      <c r="D77" s="5" cm="1">
        <f t="array" ref="D77">IFERROR(_xlfn.XLOOKUP(A77,Bank!$A:$A,Bank!$C:$C),0)</f>
        <v>11205.32</v>
      </c>
      <c r="E77" s="5">
        <f>C77-D77</f>
        <v>0.0</v>
      </c>
      <c r="F77" s="6" t="str">
        <f>IF(D77=0,"Missing in bank",IF(ABS(E77)&lt;0.001,"Exact",IF(ABS(E77)&lt;=0.1,"Tolerance","Exception")))</f>
        <v>Exact</v>
      </c>
      <c r="G77" s="6"/>
    </row>
    <row r="78" spans="1:7">
      <c r="A78" s="6" t="s">
        <v>132</v>
      </c>
      <c r="B78" s="4">
        <v>46200</v>
      </c>
      <c r="C78" s="5">
        <v>3201.61</v>
      </c>
      <c r="D78" s="5" cm="1">
        <f t="array" ref="D78">IFERROR(_xlfn.XLOOKUP(A78,Bank!$A:$A,Bank!$C:$C),0)</f>
        <v>0</v>
      </c>
      <c r="E78" s="5">
        <f>C78-D78</f>
        <v>3201.61</v>
      </c>
      <c r="F78" s="6" t="str">
        <f>IF(D78=0,"Missing in bank",IF(ABS(E78)&lt;0.001,"Exact",IF(ABS(E78)&lt;=0.1,"Tolerance","Exception")))</f>
        <v>Missing in bank</v>
      </c>
      <c r="G78" s="6" t="s">
        <v>157</v>
      </c>
    </row>
    <row r="79" spans="1:7">
      <c r="A79" s="6" t="s">
        <v>133</v>
      </c>
      <c r="B79" s="4">
        <v>46190</v>
      </c>
      <c r="C79" s="5">
        <v>6904.77</v>
      </c>
      <c r="D79" s="5" cm="1">
        <f t="array" ref="D79">IFERROR(_xlfn.XLOOKUP(A79,Bank!$A:$A,Bank!$C:$C),0)</f>
        <v>6904.77</v>
      </c>
      <c r="E79" s="5">
        <f>C79-D79</f>
        <v>0.0</v>
      </c>
      <c r="F79" s="6" t="str">
        <f>IF(D79=0,"Missing in bank",IF(ABS(E79)&lt;0.001,"Exact",IF(ABS(E79)&lt;=0.1,"Tolerance","Exception")))</f>
        <v>Exact</v>
      </c>
      <c r="G79" s="6"/>
    </row>
    <row r="80" spans="1:7">
      <c r="A80" s="6" t="s">
        <v>134</v>
      </c>
      <c r="B80" s="4">
        <v>46193</v>
      </c>
      <c r="C80" s="5">
        <v>7065.15</v>
      </c>
      <c r="D80" s="5" cm="1">
        <f t="array" ref="D80">IFERROR(_xlfn.XLOOKUP(A80,Bank!$A:$A,Bank!$C:$C),0)</f>
        <v>7065.15</v>
      </c>
      <c r="E80" s="5">
        <f>C80-D80</f>
        <v>0.0</v>
      </c>
      <c r="F80" s="6" t="str">
        <f>IF(D80=0,"Missing in bank",IF(ABS(E80)&lt;0.001,"Exact",IF(ABS(E80)&lt;=0.1,"Tolerance","Exception")))</f>
        <v>Exact</v>
      </c>
      <c r="G80" s="6"/>
    </row>
    <row r="81" spans="1:7">
      <c r="A81" s="6" t="s">
        <v>135</v>
      </c>
      <c r="B81" s="4">
        <v>46183</v>
      </c>
      <c r="C81" s="5">
        <v>18935.12</v>
      </c>
      <c r="D81" s="5" cm="1">
        <f t="array" ref="D81">IFERROR(_xlfn.XLOOKUP(A81,Bank!$A:$A,Bank!$C:$C),0)</f>
        <v>18935.12</v>
      </c>
      <c r="E81" s="5">
        <f>C81-D81</f>
        <v>0.0</v>
      </c>
      <c r="F81" s="6" t="str">
        <f>IF(D81=0,"Missing in bank",IF(ABS(E81)&lt;0.001,"Exact",IF(ABS(E81)&lt;=0.1,"Tolerance","Exception")))</f>
        <v>Exact</v>
      </c>
      <c r="G81" s="6"/>
    </row>
    <row r="82" spans="1:7">
      <c r="A82" s="6" t="s">
        <v>137</v>
      </c>
      <c r="B82" s="4">
        <v>46202</v>
      </c>
      <c r="C82" s="5">
        <v>9389.959999999999</v>
      </c>
      <c r="D82" s="5" cm="1">
        <f t="array" ref="D82">IFERROR(_xlfn.XLOOKUP(A82,Bank!$A:$A,Bank!$C:$C),0)</f>
        <v>9389.96</v>
      </c>
      <c r="E82" s="5">
        <f>C82-D82</f>
        <v>0.0</v>
      </c>
      <c r="F82" s="6" t="str">
        <f>IF(D82=0,"Missing in bank",IF(ABS(E82)&lt;0.001,"Exact",IF(ABS(E82)&lt;=0.1,"Tolerance","Exception")))</f>
        <v>Exact</v>
      </c>
      <c r="G82" s="6"/>
    </row>
    <row r="83" spans="1:7">
      <c r="A83" s="6" t="s">
        <v>138</v>
      </c>
      <c r="B83" s="4">
        <v>46188</v>
      </c>
      <c r="C83" s="5">
        <v>8702.07</v>
      </c>
      <c r="D83" s="5" cm="1">
        <f t="array" ref="D83">IFERROR(_xlfn.XLOOKUP(A83,Bank!$A:$A,Bank!$C:$C),0)</f>
        <v>8702.07</v>
      </c>
      <c r="E83" s="5">
        <f>C83-D83</f>
        <v>0.0</v>
      </c>
      <c r="F83" s="6" t="str">
        <f>IF(D83=0,"Missing in bank",IF(ABS(E83)&lt;0.001,"Exact",IF(ABS(E83)&lt;=0.1,"Tolerance","Exception")))</f>
        <v>Exact</v>
      </c>
      <c r="G83" s="6"/>
    </row>
    <row r="84" spans="1:7">
      <c r="A84" s="6" t="s">
        <v>139</v>
      </c>
      <c r="B84" s="4">
        <v>46180</v>
      </c>
      <c r="C84" s="5">
        <v>1884.2</v>
      </c>
      <c r="D84" s="5" cm="1">
        <f t="array" ref="D84">IFERROR(_xlfn.XLOOKUP(A84,Bank!$A:$A,Bank!$C:$C),0)</f>
        <v>1884.2</v>
      </c>
      <c r="E84" s="5">
        <f>C84-D84</f>
        <v>0.0</v>
      </c>
      <c r="F84" s="6" t="str">
        <f>IF(D84=0,"Missing in bank",IF(ABS(E84)&lt;0.001,"Exact",IF(ABS(E84)&lt;=0.1,"Tolerance","Exception")))</f>
        <v>Exact</v>
      </c>
      <c r="G84" s="6"/>
    </row>
    <row r="85" spans="1:7">
      <c r="A85" s="6" t="s">
        <v>141</v>
      </c>
      <c r="B85" s="4">
        <v>46202</v>
      </c>
      <c r="C85" s="5">
        <v>22786.4</v>
      </c>
      <c r="D85" s="5" cm="1">
        <f t="array" ref="D85">IFERROR(_xlfn.XLOOKUP(A85,Bank!$A:$A,Bank!$C:$C),0)</f>
        <v>22786.4</v>
      </c>
      <c r="E85" s="5">
        <f>C85-D85</f>
        <v>0.0</v>
      </c>
      <c r="F85" s="6" t="str">
        <f>IF(D85=0,"Missing in bank",IF(ABS(E85)&lt;0.001,"Exact",IF(ABS(E85)&lt;=0.1,"Tolerance","Exception")))</f>
        <v>Exact</v>
      </c>
      <c r="G85" s="6"/>
    </row>
    <row r="86" spans="1:7">
      <c r="A86" s="6" t="s">
        <v>142</v>
      </c>
      <c r="B86" s="4">
        <v>46186</v>
      </c>
      <c r="C86" s="5">
        <v>6334.12</v>
      </c>
      <c r="D86" s="5" cm="1">
        <f t="array" ref="D86">IFERROR(_xlfn.XLOOKUP(A86,Bank!$A:$A,Bank!$C:$C),0)</f>
        <v>6334.12</v>
      </c>
      <c r="E86" s="5">
        <f>C86-D86</f>
        <v>0.0</v>
      </c>
      <c r="F86" s="6" t="str">
        <f>IF(D86=0,"Missing in bank",IF(ABS(E86)&lt;0.001,"Exact",IF(ABS(E86)&lt;=0.1,"Tolerance","Exception")))</f>
        <v>Exact</v>
      </c>
      <c r="G86" s="6"/>
    </row>
    <row r="87" spans="1:7">
      <c r="A87" s="6" t="s">
        <v>143</v>
      </c>
      <c r="B87" s="4">
        <v>46198</v>
      </c>
      <c r="C87" s="5">
        <v>2048.97</v>
      </c>
      <c r="D87" s="5" cm="1">
        <f t="array" ref="D87">IFERROR(_xlfn.XLOOKUP(A87,Bank!$A:$A,Bank!$C:$C),0)</f>
        <v>2048.97</v>
      </c>
      <c r="E87" s="5">
        <f>C87-D87</f>
        <v>0.0</v>
      </c>
      <c r="F87" s="6" t="str">
        <f>IF(D87=0,"Missing in bank",IF(ABS(E87)&lt;0.001,"Exact",IF(ABS(E87)&lt;=0.1,"Tolerance","Exception")))</f>
        <v>Exact</v>
      </c>
      <c r="G87" s="6"/>
    </row>
    <row r="88" spans="1:7">
      <c r="A88" s="6" t="s">
        <v>144</v>
      </c>
      <c r="B88" s="4">
        <v>46176</v>
      </c>
      <c r="C88" s="5">
        <v>20167.16</v>
      </c>
      <c r="D88" s="5" cm="1">
        <f t="array" ref="D88">IFERROR(_xlfn.XLOOKUP(A88,Bank!$A:$A,Bank!$C:$C),0)</f>
        <v>20167.16</v>
      </c>
      <c r="E88" s="5">
        <f>C88-D88</f>
        <v>0.0</v>
      </c>
      <c r="F88" s="6" t="str">
        <f>IF(D88=0,"Missing in bank",IF(ABS(E88)&lt;0.001,"Exact",IF(ABS(E88)&lt;=0.1,"Tolerance","Exception")))</f>
        <v>Exact</v>
      </c>
      <c r="G88" s="6"/>
    </row>
    <row r="89" spans="1:7">
      <c r="A89" s="6" t="s">
        <v>145</v>
      </c>
      <c r="B89" s="4">
        <v>46189</v>
      </c>
      <c r="C89" s="5">
        <v>21278.24</v>
      </c>
      <c r="D89" s="5" cm="1">
        <f t="array" ref="D89">IFERROR(_xlfn.XLOOKUP(A89,Bank!$A:$A,Bank!$C:$C),0)</f>
        <v>21278.24</v>
      </c>
      <c r="E89" s="5">
        <f>C89-D89</f>
        <v>0.0</v>
      </c>
      <c r="F89" s="6" t="str">
        <f>IF(D89=0,"Missing in bank",IF(ABS(E89)&lt;0.001,"Exact",IF(ABS(E89)&lt;=0.1,"Tolerance","Exception")))</f>
        <v>Exact</v>
      </c>
      <c r="G89" s="6"/>
    </row>
    <row r="90" spans="1:7">
      <c r="A90" s="6" t="s">
        <v>147</v>
      </c>
      <c r="B90" s="4">
        <v>46194</v>
      </c>
      <c r="C90" s="5">
        <v>10347.94</v>
      </c>
      <c r="D90" s="5" cm="1">
        <f t="array" ref="D90">IFERROR(_xlfn.XLOOKUP(A90,Bank!$A:$A,Bank!$C:$C),0)</f>
        <v>10347.94</v>
      </c>
      <c r="E90" s="5">
        <f>C90-D90</f>
        <v>0.0</v>
      </c>
      <c r="F90" s="6" t="str">
        <f>IF(D90=0,"Missing in bank",IF(ABS(E90)&lt;0.001,"Exact",IF(ABS(E90)&lt;=0.1,"Tolerance","Exception")))</f>
        <v>Exact</v>
      </c>
      <c r="G90" s="6"/>
    </row>
    <row r="91" spans="1:7">
      <c r="A91" s="6" t="s">
        <v>148</v>
      </c>
      <c r="B91" s="4">
        <v>46192</v>
      </c>
      <c r="C91" s="5">
        <v>21161.17</v>
      </c>
      <c r="D91" s="5" cm="1">
        <f t="array" ref="D91">IFERROR(_xlfn.XLOOKUP(A91,Bank!$A:$A,Bank!$C:$C),0)</f>
        <v>21161.17</v>
      </c>
      <c r="E91" s="5">
        <f>C91-D91</f>
        <v>0.0</v>
      </c>
      <c r="F91" s="6" t="str">
        <f>IF(D91=0,"Missing in bank",IF(ABS(E91)&lt;0.001,"Exact",IF(ABS(E91)&lt;=0.1,"Tolerance","Exception")))</f>
        <v>Exact</v>
      </c>
      <c r="G91" s="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22.7109375" customWidth="1"/>
  </cols>
  <sheetData>
    <row r="1" spans="1:3" ht="30" customHeight="1">
      <c r="A1" s="1" t="s">
        <v>158</v>
      </c>
    </row>
    <row r="3" spans="1:3">
      <c r="A3" s="7" t="s">
        <v>159</v>
      </c>
      <c r="B3" s="7" t="s">
        <v>160</v>
      </c>
      <c r="C3" s="7" t="s">
        <v>161</v>
      </c>
    </row>
    <row r="4" spans="1:3">
      <c r="A4" s="6" t="s">
        <v>162</v>
      </c>
      <c r="B4" s="5">
        <f>SUM(Ledger!C:C)</f>
        <v>1046392.6799999999</v>
      </c>
      <c r="C4" s="5">
        <v>1046392.68</v>
      </c>
    </row>
    <row r="5" spans="1:3">
      <c r="A5" s="6" t="s">
        <v>163</v>
      </c>
      <c r="B5" s="5">
        <f>SUM(Bank!C:C)</f>
        <v>1005273.85</v>
      </c>
      <c r="C5" s="5">
        <v>1005273.85</v>
      </c>
    </row>
    <row r="6" spans="1:3">
      <c r="A6" s="6" t="s">
        <v>164</v>
      </c>
      <c r="B6" s="6">
        <f>COUNTIF(Reconciliation!F:F,"Exact")</f>
        <v>84</v>
      </c>
      <c r="C6" s="6">
        <v>84</v>
      </c>
    </row>
    <row r="7" spans="1:3">
      <c r="A7" s="6" t="s">
        <v>165</v>
      </c>
      <c r="B7" s="6">
        <f>COUNTIF(Reconciliation!F:F,"Tolerance")</f>
        <v>2</v>
      </c>
      <c r="C7" s="6">
        <v>2</v>
      </c>
    </row>
    <row r="8" spans="1:3">
      <c r="A8" s="6" t="s">
        <v>166</v>
      </c>
      <c r="B8" s="6">
        <f>COUNTIF(Reconciliation!F:F,"Exception")+COUNTIF(Reconciliation!F:F,"Missing in bank")</f>
        <v>6</v>
      </c>
      <c r="C8" s="6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5" width="16.7109375" customWidth="1"/>
  </cols>
  <sheetData>
    <row r="1" spans="1:7" ht="30" customHeight="1">
      <c r="A1" t="s">
        <v>167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</row>
    <row r="2" spans="1:7">
      <c r="A2" t="s">
        <v>174</v>
      </c>
      <c r="B2">
        <v>1</v>
      </c>
      <c r="C2" t="s">
        <v>175</v>
      </c>
      <c r="D2" s="8">
        <v>684667</v>
      </c>
      <c r="E2" s="8">
        <v>681656</v>
      </c>
      <c r="F2" s="8">
        <v>3011</v>
      </c>
      <c r="G2" s="9">
        <v>0.004417184034175596</v>
      </c>
    </row>
    <row r="3" spans="1:7">
      <c r="A3" t="s">
        <v>174</v>
      </c>
      <c r="B3">
        <v>1</v>
      </c>
      <c r="C3" t="s">
        <v>176</v>
      </c>
      <c r="D3" s="8">
        <v>600040</v>
      </c>
      <c r="E3" s="8">
        <v>617856</v>
      </c>
      <c r="F3" s="8">
        <v>-17816</v>
      </c>
      <c r="G3" s="9">
        <v>-0.02883519784545266</v>
      </c>
    </row>
    <row r="4" spans="1:7">
      <c r="A4" t="s">
        <v>174</v>
      </c>
      <c r="B4">
        <v>1</v>
      </c>
      <c r="C4" t="s">
        <v>177</v>
      </c>
      <c r="D4" s="8">
        <v>383412</v>
      </c>
      <c r="E4" s="8">
        <v>431900</v>
      </c>
      <c r="F4" s="8">
        <v>-48488</v>
      </c>
      <c r="G4" s="9">
        <v>-0.112266728409354</v>
      </c>
    </row>
    <row r="5" spans="1:7">
      <c r="A5" t="s">
        <v>174</v>
      </c>
      <c r="B5">
        <v>1</v>
      </c>
      <c r="C5" t="s">
        <v>178</v>
      </c>
      <c r="D5" s="8">
        <v>467836</v>
      </c>
      <c r="E5" s="8">
        <v>417933</v>
      </c>
      <c r="F5" s="8">
        <v>49903</v>
      </c>
      <c r="G5" s="9">
        <v>0.1194043064318922</v>
      </c>
    </row>
    <row r="6" spans="1:7">
      <c r="A6" t="s">
        <v>179</v>
      </c>
      <c r="B6">
        <v>2</v>
      </c>
      <c r="C6" t="s">
        <v>175</v>
      </c>
      <c r="D6" s="8">
        <v>600151</v>
      </c>
      <c r="E6" s="8">
        <v>541849</v>
      </c>
      <c r="F6" s="8">
        <v>58302</v>
      </c>
      <c r="G6" s="9">
        <v>0.1075982423147408</v>
      </c>
    </row>
    <row r="7" spans="1:7">
      <c r="A7" t="s">
        <v>179</v>
      </c>
      <c r="B7">
        <v>2</v>
      </c>
      <c r="C7" t="s">
        <v>176</v>
      </c>
      <c r="D7" s="8">
        <v>642451</v>
      </c>
      <c r="E7" s="8">
        <v>590987</v>
      </c>
      <c r="F7" s="8">
        <v>51464</v>
      </c>
      <c r="G7" s="9">
        <v>0.08708144172376042</v>
      </c>
    </row>
    <row r="8" spans="1:7">
      <c r="A8" t="s">
        <v>179</v>
      </c>
      <c r="B8">
        <v>2</v>
      </c>
      <c r="C8" t="s">
        <v>177</v>
      </c>
      <c r="D8" s="8">
        <v>434773</v>
      </c>
      <c r="E8" s="8">
        <v>421956</v>
      </c>
      <c r="F8" s="8">
        <v>12817</v>
      </c>
      <c r="G8" s="9">
        <v>0.03037520499767748</v>
      </c>
    </row>
    <row r="9" spans="1:7">
      <c r="A9" t="s">
        <v>179</v>
      </c>
      <c r="B9">
        <v>2</v>
      </c>
      <c r="C9" t="s">
        <v>178</v>
      </c>
      <c r="D9" s="8">
        <v>700845</v>
      </c>
      <c r="E9" s="8">
        <v>671851</v>
      </c>
      <c r="F9" s="8">
        <v>28994</v>
      </c>
      <c r="G9" s="9">
        <v>0.04315540201622086</v>
      </c>
    </row>
    <row r="10" spans="1:7">
      <c r="A10" t="s">
        <v>180</v>
      </c>
      <c r="B10">
        <v>3</v>
      </c>
      <c r="C10" t="s">
        <v>175</v>
      </c>
      <c r="D10" s="8">
        <v>515151</v>
      </c>
      <c r="E10" s="8">
        <v>517012</v>
      </c>
      <c r="F10" s="8">
        <v>-1861</v>
      </c>
      <c r="G10" s="9">
        <v>-0.00359952960472871</v>
      </c>
    </row>
    <row r="11" spans="1:7">
      <c r="A11" t="s">
        <v>180</v>
      </c>
      <c r="B11">
        <v>3</v>
      </c>
      <c r="C11" t="s">
        <v>176</v>
      </c>
      <c r="D11" s="8">
        <v>528055</v>
      </c>
      <c r="E11" s="8">
        <v>464268</v>
      </c>
      <c r="F11" s="8">
        <v>63787</v>
      </c>
      <c r="G11" s="9">
        <v>0.1373926266725254</v>
      </c>
    </row>
    <row r="12" spans="1:7">
      <c r="A12" t="s">
        <v>180</v>
      </c>
      <c r="B12">
        <v>3</v>
      </c>
      <c r="C12" t="s">
        <v>177</v>
      </c>
      <c r="D12" s="8">
        <v>454035</v>
      </c>
      <c r="E12" s="8">
        <v>443604</v>
      </c>
      <c r="F12" s="8">
        <v>10431</v>
      </c>
      <c r="G12" s="9">
        <v>0.02351421538128601</v>
      </c>
    </row>
    <row r="13" spans="1:7">
      <c r="A13" t="s">
        <v>180</v>
      </c>
      <c r="B13">
        <v>3</v>
      </c>
      <c r="C13" t="s">
        <v>178</v>
      </c>
      <c r="D13" s="8">
        <v>586881</v>
      </c>
      <c r="E13" s="8">
        <v>592847</v>
      </c>
      <c r="F13" s="8">
        <v>-5966</v>
      </c>
      <c r="G13" s="9">
        <v>-0.01006330469750205</v>
      </c>
    </row>
    <row r="14" spans="1:7">
      <c r="A14" t="s">
        <v>181</v>
      </c>
      <c r="B14">
        <v>4</v>
      </c>
      <c r="C14" t="s">
        <v>175</v>
      </c>
      <c r="D14" s="8">
        <v>425769</v>
      </c>
      <c r="E14" s="8">
        <v>375879</v>
      </c>
      <c r="F14" s="8">
        <v>49890</v>
      </c>
      <c r="G14" s="9">
        <v>0.1327288834970828</v>
      </c>
    </row>
    <row r="15" spans="1:7">
      <c r="A15" t="s">
        <v>181</v>
      </c>
      <c r="B15">
        <v>4</v>
      </c>
      <c r="C15" t="s">
        <v>176</v>
      </c>
      <c r="D15" s="8">
        <v>473215</v>
      </c>
      <c r="E15" s="8">
        <v>437375</v>
      </c>
      <c r="F15" s="8">
        <v>35840</v>
      </c>
      <c r="G15" s="9">
        <v>0.08194341240354387</v>
      </c>
    </row>
    <row r="16" spans="1:7">
      <c r="A16" t="s">
        <v>181</v>
      </c>
      <c r="B16">
        <v>4</v>
      </c>
      <c r="C16" t="s">
        <v>177</v>
      </c>
      <c r="D16" s="8">
        <v>641502</v>
      </c>
      <c r="E16" s="8">
        <v>587412</v>
      </c>
      <c r="F16" s="8">
        <v>54090</v>
      </c>
      <c r="G16" s="9">
        <v>0.09208187779616352</v>
      </c>
    </row>
    <row r="17" spans="1:7">
      <c r="A17" t="s">
        <v>181</v>
      </c>
      <c r="B17">
        <v>4</v>
      </c>
      <c r="C17" t="s">
        <v>178</v>
      </c>
      <c r="D17" s="8">
        <v>447432</v>
      </c>
      <c r="E17" s="8">
        <v>433390</v>
      </c>
      <c r="F17" s="8">
        <v>14042</v>
      </c>
      <c r="G17" s="9">
        <v>0.03240037841205381</v>
      </c>
    </row>
    <row r="18" spans="1:7">
      <c r="A18" t="s">
        <v>182</v>
      </c>
      <c r="B18">
        <v>5</v>
      </c>
      <c r="C18" t="s">
        <v>175</v>
      </c>
      <c r="D18" s="8">
        <v>430191</v>
      </c>
      <c r="E18" s="8">
        <v>386023</v>
      </c>
      <c r="F18" s="8">
        <v>44168</v>
      </c>
      <c r="G18" s="9">
        <v>0.1144180528103248</v>
      </c>
    </row>
    <row r="19" spans="1:7">
      <c r="A19" t="s">
        <v>182</v>
      </c>
      <c r="B19">
        <v>5</v>
      </c>
      <c r="C19" t="s">
        <v>176</v>
      </c>
      <c r="D19" s="8">
        <v>481547</v>
      </c>
      <c r="E19" s="8">
        <v>491244</v>
      </c>
      <c r="F19" s="8">
        <v>-9697</v>
      </c>
      <c r="G19" s="9">
        <v>-0.01973968129890645</v>
      </c>
    </row>
    <row r="20" spans="1:7">
      <c r="A20" t="s">
        <v>182</v>
      </c>
      <c r="B20">
        <v>5</v>
      </c>
      <c r="C20" t="s">
        <v>177</v>
      </c>
      <c r="D20" s="8">
        <v>456668</v>
      </c>
      <c r="E20" s="8">
        <v>512085</v>
      </c>
      <c r="F20" s="8">
        <v>-55417</v>
      </c>
      <c r="G20" s="9">
        <v>-0.1082183621859652</v>
      </c>
    </row>
    <row r="21" spans="1:7">
      <c r="A21" t="s">
        <v>182</v>
      </c>
      <c r="B21">
        <v>5</v>
      </c>
      <c r="C21" t="s">
        <v>178</v>
      </c>
      <c r="D21" s="8">
        <v>433345</v>
      </c>
      <c r="E21" s="8">
        <v>483948</v>
      </c>
      <c r="F21" s="8">
        <v>-50603</v>
      </c>
      <c r="G21" s="9">
        <v>-0.1045628869217354</v>
      </c>
    </row>
    <row r="22" spans="1:7">
      <c r="A22" t="s">
        <v>183</v>
      </c>
      <c r="B22">
        <v>6</v>
      </c>
      <c r="C22" t="s">
        <v>175</v>
      </c>
      <c r="D22" s="8">
        <v>440263</v>
      </c>
      <c r="E22" s="8">
        <v>440495</v>
      </c>
      <c r="F22" s="8">
        <v>-232</v>
      </c>
      <c r="G22" s="9">
        <v>-0.0005266802120341888</v>
      </c>
    </row>
    <row r="23" spans="1:7">
      <c r="A23" t="s">
        <v>183</v>
      </c>
      <c r="B23">
        <v>6</v>
      </c>
      <c r="C23" t="s">
        <v>176</v>
      </c>
      <c r="D23" s="8">
        <v>438822</v>
      </c>
      <c r="E23" s="8">
        <v>411363</v>
      </c>
      <c r="F23" s="8">
        <v>27459</v>
      </c>
      <c r="G23" s="9">
        <v>0.06675126348261755</v>
      </c>
    </row>
    <row r="24" spans="1:7">
      <c r="A24" t="s">
        <v>183</v>
      </c>
      <c r="B24">
        <v>6</v>
      </c>
      <c r="C24" t="s">
        <v>177</v>
      </c>
      <c r="D24" s="8">
        <v>434361</v>
      </c>
      <c r="E24" s="8">
        <v>396586</v>
      </c>
      <c r="F24" s="8">
        <v>37775</v>
      </c>
      <c r="G24" s="9">
        <v>0.09525046269913713</v>
      </c>
    </row>
    <row r="25" spans="1:7">
      <c r="A25" t="s">
        <v>183</v>
      </c>
      <c r="B25">
        <v>6</v>
      </c>
      <c r="C25" t="s">
        <v>178</v>
      </c>
      <c r="D25" s="8">
        <v>517232</v>
      </c>
      <c r="E25" s="8">
        <v>549493</v>
      </c>
      <c r="F25" s="8">
        <v>-32261</v>
      </c>
      <c r="G25" s="9">
        <v>-0.058710484028004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Ledger</vt:lpstr>
      <vt:lpstr>Bank</vt:lpstr>
      <vt:lpstr>Reconciliation</vt:lpstr>
      <vt:lpstr>Summary</vt:lpstr>
      <vt:lpstr>Variance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2026-08-23T07:03:29Z</dcterms:created>
  <dcterms:modified xsi:type="dcterms:W3CDTF">2026-08-23T07:03:29Z</dcterms:modified>
</cp:coreProperties>
</file>