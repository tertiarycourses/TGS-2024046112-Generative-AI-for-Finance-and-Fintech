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PL Data" sheetId="2" r:id="rId2"/>
    <sheet name="Analysis" sheetId="3" r:id="rId3"/>
    <sheet name="Dashboard" sheetId="4" r:id="rId4"/>
    <sheet name="Commentary" sheetId="5" r:id="rId5"/>
  </sheets>
  <calcPr calcId="124519" fullCalcOnLoad="1"/>
</workbook>
</file>

<file path=xl/sharedStrings.xml><?xml version="1.0" encoding="utf-8"?>
<sst xmlns="http://schemas.openxmlformats.org/spreadsheetml/2006/main" count="1261" uniqueCount="79">
  <si>
    <t>Lab 5: Analyse Variances and Build a Dashboard with Copilot</t>
  </si>
  <si>
    <t>Course</t>
  </si>
  <si>
    <t>Generative AI for Finance and Fintech (TGS-2026065050)</t>
  </si>
  <si>
    <t>TSC mapping</t>
  </si>
  <si>
    <t>K1 · A2</t>
  </si>
  <si>
    <t>Objective</t>
  </si>
  <si>
    <t>Use Copilot in Excel to analyse budget variances and build an auditable management dashboard.</t>
  </si>
  <si>
    <t>Scenario</t>
  </si>
  <si>
    <t>Northstar's CFO needs a monthly performance dashboard and commentary that survives scrutiny in the board meeting.</t>
  </si>
  <si>
    <t>Expected output</t>
  </si>
  <si>
    <t>An editable dashboard with actual, budget, variance and forecast views plus verified commentary.</t>
  </si>
  <si>
    <t>Data notice</t>
  </si>
  <si>
    <t>All names, accounts, transactions and scores are synthetic. Do not replace them with live personal or customer data.</t>
  </si>
  <si>
    <t>Acceptance</t>
  </si>
  <si>
    <t>All formula checks pass; total variance equals actual less budget; charts stay linked to source data; commentary separates evidenced fact from labelled hypothesis.</t>
  </si>
  <si>
    <t>Period</t>
  </si>
  <si>
    <t>Department</t>
  </si>
  <si>
    <t>AccountCode</t>
  </si>
  <si>
    <t>AccountName</t>
  </si>
  <si>
    <t>AccountType</t>
  </si>
  <si>
    <t>ActualSGD</t>
  </si>
  <si>
    <t>BudgetSGD</t>
  </si>
  <si>
    <t>VarianceSGD</t>
  </si>
  <si>
    <t>2026-01</t>
  </si>
  <si>
    <t>Digital Payments</t>
  </si>
  <si>
    <t>4000</t>
  </si>
  <si>
    <t>Interest Income</t>
  </si>
  <si>
    <t>Revenue</t>
  </si>
  <si>
    <t>4100</t>
  </si>
  <si>
    <t>Fee and Commission Income</t>
  </si>
  <si>
    <t>4200</t>
  </si>
  <si>
    <t>Transaction Revenue</t>
  </si>
  <si>
    <t>5000</t>
  </si>
  <si>
    <t>Cost of Service Delivery</t>
  </si>
  <si>
    <t>COGS</t>
  </si>
  <si>
    <t>6100</t>
  </si>
  <si>
    <t>Marketing and Acquisition</t>
  </si>
  <si>
    <t>Opex</t>
  </si>
  <si>
    <t>6200</t>
  </si>
  <si>
    <t>Technology and Cloud</t>
  </si>
  <si>
    <t>6300</t>
  </si>
  <si>
    <t>People Cost</t>
  </si>
  <si>
    <t>6400</t>
  </si>
  <si>
    <t>Premises and Admin</t>
  </si>
  <si>
    <t>6500</t>
  </si>
  <si>
    <t>Compliance and Risk</t>
  </si>
  <si>
    <t>7000</t>
  </si>
  <si>
    <t>Credit Loss Provision</t>
  </si>
  <si>
    <t>Provision</t>
  </si>
  <si>
    <t>Enterprise</t>
  </si>
  <si>
    <t>Retail Banking</t>
  </si>
  <si>
    <t>SME Lending</t>
  </si>
  <si>
    <t>2026-02</t>
  </si>
  <si>
    <t>2026-03</t>
  </si>
  <si>
    <t>2026-04</t>
  </si>
  <si>
    <t>2026-05</t>
  </si>
  <si>
    <t>2026-06</t>
  </si>
  <si>
    <t>Department summary — build these with Copilot, then audit every formula</t>
  </si>
  <si>
    <t>Actual</t>
  </si>
  <si>
    <t>Budget</t>
  </si>
  <si>
    <t>Variance</t>
  </si>
  <si>
    <t>Variance %</t>
  </si>
  <si>
    <t>Material?</t>
  </si>
  <si>
    <t>Monthly trend</t>
  </si>
  <si>
    <t>KPI tiles — every tile must be a formula, never a typed value</t>
  </si>
  <si>
    <t>KPI</t>
  </si>
  <si>
    <t>Value</t>
  </si>
  <si>
    <t>Control total</t>
  </si>
  <si>
    <t>Reconciles?</t>
  </si>
  <si>
    <t>Net profit H1 FY2026</t>
  </si>
  <si>
    <t>Budgeted net profit</t>
  </si>
  <si>
    <t>Variance to budget</t>
  </si>
  <si>
    <t>Commentary — separate what the data shows from what you are inferring</t>
  </si>
  <si>
    <t>Materiality: greater than SGD 50,000 or 10% of budget, whichever is lower (POL-FIN-002).</t>
  </si>
  <si>
    <t>Department / account</t>
  </si>
  <si>
    <t>Variance SGD</t>
  </si>
  <si>
    <t>Statement</t>
  </si>
  <si>
    <t>Fact or hypothesis?</t>
  </si>
  <si>
    <t>Owner to confirm</t>
  </si>
</sst>
</file>

<file path=xl/styles.xml><?xml version="1.0" encoding="utf-8"?>
<styleSheet xmlns="http://schemas.openxmlformats.org/spreadsheetml/2006/main">
  <numFmts count="2">
    <numFmt numFmtId="164" formatCode="$#,##0;[Red]-$#,##0"/>
    <numFmt numFmtId="165" formatCode="0.0%"/>
  </numFmts>
  <fonts count="6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164" fontId="0" fillId="0" borderId="2" xfId="0" applyNumberFormat="1" applyBorder="1"/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5" fontId="0" fillId="0" borderId="2" xfId="0" applyNumberFormat="1" applyBorder="1"/>
    <xf numFmtId="0" fontId="4" fillId="3" borderId="0" xfId="0" applyFont="1" applyFill="1" applyAlignment="1">
      <alignment horizontal="left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Actual versus budget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Actual</c:v>
          </c:tx>
          <c:spPr>
            <a:solidFill>
              <a:srgbClr val="1F6FEB"/>
            </a:solidFill>
          </c:spPr>
          <c:cat>
            <c:strRef>
              <c:f>Analysis!$A$13:$A$18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Analysis!$B$13:$B$18</c:f>
              <c:numCache>
                <c:formatCode>General</c:formatCode>
                <c:ptCount val="6"/>
                <c:pt idx="0">
                  <c:v>771247.89</c:v>
                </c:pt>
                <c:pt idx="1">
                  <c:v>798523.22</c:v>
                </c:pt>
                <c:pt idx="2">
                  <c:v>689206.9199999999</c:v>
                </c:pt>
                <c:pt idx="3">
                  <c:v>866470.1399999999</c:v>
                </c:pt>
                <c:pt idx="4">
                  <c:v>812492.36</c:v>
                </c:pt>
                <c:pt idx="5">
                  <c:v>829318.8500000001</c:v>
                </c:pt>
              </c:numCache>
            </c:numRef>
          </c:val>
        </c:ser>
        <c:ser>
          <c:idx val="1"/>
          <c:order val="1"/>
          <c:tx>
            <c:v>Budget</c:v>
          </c:tx>
          <c:spPr>
            <a:solidFill>
              <a:srgbClr val="10B981"/>
            </a:solidFill>
          </c:spPr>
          <c:cat>
            <c:strRef>
              <c:f>Analysis!$A$13:$A$18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Analysis!$C$13:$C$18</c:f>
              <c:numCache>
                <c:formatCode>General</c:formatCode>
                <c:ptCount val="6"/>
                <c:pt idx="0">
                  <c:v>720466.5600000002</c:v>
                </c:pt>
                <c:pt idx="1">
                  <c:v>928660.3700000001</c:v>
                </c:pt>
                <c:pt idx="2">
                  <c:v>849744.6600000003</c:v>
                </c:pt>
                <c:pt idx="3">
                  <c:v>854616.1900000001</c:v>
                </c:pt>
                <c:pt idx="4">
                  <c:v>845037.68</c:v>
                </c:pt>
                <c:pt idx="5">
                  <c:v>849564.0199999998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Variance to budget by department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Variance</c:v>
          </c:tx>
          <c:spPr>
            <a:solidFill>
              <a:srgbClr val="7C3AED"/>
            </a:solidFill>
          </c:spPr>
          <c:cat>
            <c:strRef>
              <c:f>Analysis!$A$4:$A$7</c:f>
              <c:strCache>
                <c:ptCount val="4"/>
                <c:pt idx="0">
                  <c:v>Digital Payments</c:v>
                </c:pt>
                <c:pt idx="1">
                  <c:v>Enterprise</c:v>
                </c:pt>
                <c:pt idx="2">
                  <c:v>Retail Banking</c:v>
                </c:pt>
                <c:pt idx="3">
                  <c:v>SME Lending</c:v>
                </c:pt>
              </c:strCache>
            </c:strRef>
          </c:cat>
          <c:val>
            <c:numRef>
              <c:f>Analysis!$D$4:$D$7</c:f>
              <c:numCache>
                <c:formatCode>General</c:formatCode>
                <c:ptCount val="4"/>
                <c:pt idx="0">
                  <c:v>19031.160000000033</c:v>
                </c:pt>
                <c:pt idx="1">
                  <c:v>-35545.89000000013</c:v>
                </c:pt>
                <c:pt idx="2">
                  <c:v>-121910.43000000017</c:v>
                </c:pt>
                <c:pt idx="3">
                  <c:v>-142404.94000000018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Variance to budget by month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Variance %</c:v>
          </c:tx>
          <c:spPr>
            <a:ln w="31750">
              <a:solidFill>
                <a:srgbClr val="F59E0B"/>
              </a:solidFill>
            </a:ln>
          </c:spPr>
          <c:marker>
            <c:symbol val="none"/>
          </c:marker>
          <c:cat>
            <c:strRef>
              <c:f>Analysis!$A$13:$A$18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Analysis!$E$13:$E$18</c:f>
              <c:numCache>
                <c:formatCode>General</c:formatCode>
                <c:ptCount val="6"/>
                <c:pt idx="0">
                  <c:v>0.07048395139949289</c:v>
                </c:pt>
                <c:pt idx="1">
                  <c:v>-0.14013427750771806</c:v>
                </c:pt>
                <c:pt idx="2">
                  <c:v>-0.1889246823863539</c:v>
                </c:pt>
                <c:pt idx="3">
                  <c:v>0.013870495479379855</c:v>
                </c:pt>
                <c:pt idx="4">
                  <c:v>-0.038513454216621515</c:v>
                </c:pt>
                <c:pt idx="5">
                  <c:v>-0.023830069922216923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Department actual versus budget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Actual</c:v>
          </c:tx>
          <c:spPr>
            <a:solidFill>
              <a:srgbClr val="1F6FEB"/>
            </a:solidFill>
          </c:spPr>
          <c:cat>
            <c:strRef>
              <c:f>Analysis!$A$4:$A$7</c:f>
              <c:strCache>
                <c:ptCount val="4"/>
                <c:pt idx="0">
                  <c:v>Digital Payments</c:v>
                </c:pt>
                <c:pt idx="1">
                  <c:v>Enterprise</c:v>
                </c:pt>
                <c:pt idx="2">
                  <c:v>Retail Banking</c:v>
                </c:pt>
                <c:pt idx="3">
                  <c:v>SME Lending</c:v>
                </c:pt>
              </c:strCache>
            </c:strRef>
          </c:cat>
          <c:val>
            <c:numRef>
              <c:f>Analysis!$B$4:$B$7</c:f>
              <c:numCache>
                <c:formatCode>General</c:formatCode>
                <c:ptCount val="4"/>
                <c:pt idx="0">
                  <c:v>634054.51</c:v>
                </c:pt>
                <c:pt idx="1">
                  <c:v>1674178.07</c:v>
                </c:pt>
                <c:pt idx="2">
                  <c:v>1421659.42</c:v>
                </c:pt>
                <c:pt idx="3">
                  <c:v>1037367.3799999999</c:v>
                </c:pt>
              </c:numCache>
            </c:numRef>
          </c:val>
        </c:ser>
        <c:ser>
          <c:idx val="1"/>
          <c:order val="1"/>
          <c:tx>
            <c:v>Budget</c:v>
          </c:tx>
          <c:spPr>
            <a:solidFill>
              <a:srgbClr val="10B981"/>
            </a:solidFill>
          </c:spPr>
          <c:cat>
            <c:strRef>
              <c:f>Analysis!$A$4:$A$7</c:f>
              <c:strCache>
                <c:ptCount val="4"/>
                <c:pt idx="0">
                  <c:v>Digital Payments</c:v>
                </c:pt>
                <c:pt idx="1">
                  <c:v>Enterprise</c:v>
                </c:pt>
                <c:pt idx="2">
                  <c:v>Retail Banking</c:v>
                </c:pt>
                <c:pt idx="3">
                  <c:v>SME Lending</c:v>
                </c:pt>
              </c:strCache>
            </c:strRef>
          </c:cat>
          <c:val>
            <c:numRef>
              <c:f>Analysis!$C$4:$C$7</c:f>
              <c:numCache>
                <c:formatCode>General</c:formatCode>
                <c:ptCount val="4"/>
                <c:pt idx="0">
                  <c:v>615023.35</c:v>
                </c:pt>
                <c:pt idx="1">
                  <c:v>1709723.9600000002</c:v>
                </c:pt>
                <c:pt idx="2">
                  <c:v>1543569.85</c:v>
                </c:pt>
                <c:pt idx="3">
                  <c:v>1179772.32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76200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17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17</xdr:col>
      <xdr:colOff>76200</xdr:colOff>
      <xdr:row>53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25</xdr:col>
      <xdr:colOff>76200</xdr:colOff>
      <xdr:row>20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LData" displayName="PLData" ref="A1:H241" totalsRowShown="0">
  <autoFilter ref="A1:H241"/>
  <tableColumns count="8">
    <tableColumn id="1" name="Period"/>
    <tableColumn id="2" name="Department"/>
    <tableColumn id="3" name="AccountCode"/>
    <tableColumn id="4" name="AccountName"/>
    <tableColumn id="5" name="AccountType"/>
    <tableColumn id="6" name="ActualSGD"/>
    <tableColumn id="7" name="BudgetSGD"/>
    <tableColumn id="8" name="VarianceSG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0.7109375" customWidth="1"/>
    <col min="3" max="3" width="13.7109375" customWidth="1"/>
    <col min="4" max="4" width="26.7109375" customWidth="1"/>
    <col min="5" max="5" width="13.7109375" customWidth="1"/>
    <col min="6" max="8" width="16.7109375" customWidth="1"/>
  </cols>
  <sheetData>
    <row r="1" spans="1:8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4">
        <v>346016.39</v>
      </c>
      <c r="G2" s="4">
        <v>311617.19</v>
      </c>
      <c r="H2" s="4">
        <v>34399.2</v>
      </c>
    </row>
    <row r="3" spans="1:8">
      <c r="A3" t="s">
        <v>23</v>
      </c>
      <c r="B3" t="s">
        <v>24</v>
      </c>
      <c r="C3" t="s">
        <v>28</v>
      </c>
      <c r="D3" t="s">
        <v>29</v>
      </c>
      <c r="E3" t="s">
        <v>27</v>
      </c>
      <c r="F3" s="4">
        <v>176057.06</v>
      </c>
      <c r="G3" s="4">
        <v>168293.1</v>
      </c>
      <c r="H3" s="4">
        <v>7763.96</v>
      </c>
    </row>
    <row r="4" spans="1:8">
      <c r="A4" t="s">
        <v>23</v>
      </c>
      <c r="B4" t="s">
        <v>24</v>
      </c>
      <c r="C4" t="s">
        <v>30</v>
      </c>
      <c r="D4" t="s">
        <v>31</v>
      </c>
      <c r="E4" t="s">
        <v>27</v>
      </c>
      <c r="F4" s="4">
        <v>107950.83</v>
      </c>
      <c r="G4" s="4">
        <v>106368.11</v>
      </c>
      <c r="H4" s="4">
        <v>1582.72</v>
      </c>
    </row>
    <row r="5" spans="1:8">
      <c r="A5" t="s">
        <v>23</v>
      </c>
      <c r="B5" t="s">
        <v>24</v>
      </c>
      <c r="C5" t="s">
        <v>32</v>
      </c>
      <c r="D5" t="s">
        <v>33</v>
      </c>
      <c r="E5" t="s">
        <v>34</v>
      </c>
      <c r="F5" s="4">
        <v>-168074.28</v>
      </c>
      <c r="G5" s="4">
        <v>-159160.94</v>
      </c>
      <c r="H5" s="4">
        <v>-8913.34</v>
      </c>
    </row>
    <row r="6" spans="1:8">
      <c r="A6" t="s">
        <v>23</v>
      </c>
      <c r="B6" t="s">
        <v>24</v>
      </c>
      <c r="C6" t="s">
        <v>35</v>
      </c>
      <c r="D6" t="s">
        <v>36</v>
      </c>
      <c r="E6" t="s">
        <v>37</v>
      </c>
      <c r="F6" s="4">
        <v>-60153.21</v>
      </c>
      <c r="G6" s="4">
        <v>-67090.59</v>
      </c>
      <c r="H6" s="4">
        <v>6937.38</v>
      </c>
    </row>
    <row r="7" spans="1:8">
      <c r="A7" t="s">
        <v>23</v>
      </c>
      <c r="B7" t="s">
        <v>24</v>
      </c>
      <c r="C7" t="s">
        <v>38</v>
      </c>
      <c r="D7" t="s">
        <v>39</v>
      </c>
      <c r="E7" t="s">
        <v>37</v>
      </c>
      <c r="F7" s="4">
        <v>-68606.83</v>
      </c>
      <c r="G7" s="4">
        <v>-66831.34</v>
      </c>
      <c r="H7" s="4">
        <v>-1775.49</v>
      </c>
    </row>
    <row r="8" spans="1:8">
      <c r="A8" t="s">
        <v>23</v>
      </c>
      <c r="B8" t="s">
        <v>24</v>
      </c>
      <c r="C8" t="s">
        <v>40</v>
      </c>
      <c r="D8" t="s">
        <v>41</v>
      </c>
      <c r="E8" t="s">
        <v>37</v>
      </c>
      <c r="F8" s="4">
        <v>-152662.27</v>
      </c>
      <c r="G8" s="4">
        <v>-166902.45</v>
      </c>
      <c r="H8" s="4">
        <v>14240.18</v>
      </c>
    </row>
    <row r="9" spans="1:8">
      <c r="A9" t="s">
        <v>23</v>
      </c>
      <c r="B9" t="s">
        <v>24</v>
      </c>
      <c r="C9" t="s">
        <v>42</v>
      </c>
      <c r="D9" t="s">
        <v>43</v>
      </c>
      <c r="E9" t="s">
        <v>37</v>
      </c>
      <c r="F9" s="4">
        <v>-30516.88</v>
      </c>
      <c r="G9" s="4">
        <v>-27571.89</v>
      </c>
      <c r="H9" s="4">
        <v>-2944.99</v>
      </c>
    </row>
    <row r="10" spans="1:8">
      <c r="A10" t="s">
        <v>23</v>
      </c>
      <c r="B10" t="s">
        <v>24</v>
      </c>
      <c r="C10" t="s">
        <v>44</v>
      </c>
      <c r="D10" t="s">
        <v>45</v>
      </c>
      <c r="E10" t="s">
        <v>37</v>
      </c>
      <c r="F10" s="4">
        <v>-25455.29</v>
      </c>
      <c r="G10" s="4">
        <v>-27967.31</v>
      </c>
      <c r="H10" s="4">
        <v>2512.02</v>
      </c>
    </row>
    <row r="11" spans="1:8">
      <c r="A11" t="s">
        <v>23</v>
      </c>
      <c r="B11" t="s">
        <v>24</v>
      </c>
      <c r="C11" t="s">
        <v>46</v>
      </c>
      <c r="D11" t="s">
        <v>47</v>
      </c>
      <c r="E11" t="s">
        <v>48</v>
      </c>
      <c r="F11" s="4">
        <v>-19503.27</v>
      </c>
      <c r="G11" s="4">
        <v>-20452.38</v>
      </c>
      <c r="H11" s="4">
        <v>949.11</v>
      </c>
    </row>
    <row r="12" spans="1:8">
      <c r="A12" t="s">
        <v>23</v>
      </c>
      <c r="B12" t="s">
        <v>49</v>
      </c>
      <c r="C12" t="s">
        <v>25</v>
      </c>
      <c r="D12" t="s">
        <v>26</v>
      </c>
      <c r="E12" t="s">
        <v>27</v>
      </c>
      <c r="F12" s="4">
        <v>906737.36</v>
      </c>
      <c r="G12" s="4">
        <v>909603.1800000001</v>
      </c>
      <c r="H12" s="4">
        <v>-2865.82</v>
      </c>
    </row>
    <row r="13" spans="1:8">
      <c r="A13" t="s">
        <v>23</v>
      </c>
      <c r="B13" t="s">
        <v>49</v>
      </c>
      <c r="C13" t="s">
        <v>28</v>
      </c>
      <c r="D13" t="s">
        <v>29</v>
      </c>
      <c r="E13" t="s">
        <v>27</v>
      </c>
      <c r="F13" s="4">
        <v>469083.76</v>
      </c>
      <c r="G13" s="4">
        <v>464201.85</v>
      </c>
      <c r="H13" s="4">
        <v>4881.91</v>
      </c>
    </row>
    <row r="14" spans="1:8">
      <c r="A14" t="s">
        <v>23</v>
      </c>
      <c r="B14" t="s">
        <v>49</v>
      </c>
      <c r="C14" t="s">
        <v>30</v>
      </c>
      <c r="D14" t="s">
        <v>31</v>
      </c>
      <c r="E14" t="s">
        <v>27</v>
      </c>
      <c r="F14" s="4">
        <v>279197.34</v>
      </c>
      <c r="G14" s="4">
        <v>256265.06</v>
      </c>
      <c r="H14" s="4">
        <v>22932.28</v>
      </c>
    </row>
    <row r="15" spans="1:8">
      <c r="A15" t="s">
        <v>23</v>
      </c>
      <c r="B15" t="s">
        <v>49</v>
      </c>
      <c r="C15" t="s">
        <v>32</v>
      </c>
      <c r="D15" t="s">
        <v>33</v>
      </c>
      <c r="E15" t="s">
        <v>34</v>
      </c>
      <c r="F15" s="4">
        <v>-468708.17</v>
      </c>
      <c r="G15" s="4">
        <v>-479913.41</v>
      </c>
      <c r="H15" s="4">
        <v>11205.24</v>
      </c>
    </row>
    <row r="16" spans="1:8">
      <c r="A16" t="s">
        <v>23</v>
      </c>
      <c r="B16" t="s">
        <v>49</v>
      </c>
      <c r="C16" t="s">
        <v>35</v>
      </c>
      <c r="D16" t="s">
        <v>36</v>
      </c>
      <c r="E16" t="s">
        <v>37</v>
      </c>
      <c r="F16" s="4">
        <v>-143460.83</v>
      </c>
      <c r="G16" s="4">
        <v>-141614.68</v>
      </c>
      <c r="H16" s="4">
        <v>-1846.15</v>
      </c>
    </row>
    <row r="17" spans="1:8">
      <c r="A17" t="s">
        <v>23</v>
      </c>
      <c r="B17" t="s">
        <v>49</v>
      </c>
      <c r="C17" t="s">
        <v>38</v>
      </c>
      <c r="D17" t="s">
        <v>39</v>
      </c>
      <c r="E17" t="s">
        <v>37</v>
      </c>
      <c r="F17" s="4">
        <v>-177810.17</v>
      </c>
      <c r="G17" s="4">
        <v>-193777.49</v>
      </c>
      <c r="H17" s="4">
        <v>15967.32</v>
      </c>
    </row>
    <row r="18" spans="1:8">
      <c r="A18" t="s">
        <v>23</v>
      </c>
      <c r="B18" t="s">
        <v>49</v>
      </c>
      <c r="C18" t="s">
        <v>40</v>
      </c>
      <c r="D18" t="s">
        <v>41</v>
      </c>
      <c r="E18" t="s">
        <v>37</v>
      </c>
      <c r="F18" s="4">
        <v>-385743.74</v>
      </c>
      <c r="G18" s="4">
        <v>-399813.86</v>
      </c>
      <c r="H18" s="4">
        <v>14070.12</v>
      </c>
    </row>
    <row r="19" spans="1:8">
      <c r="A19" t="s">
        <v>23</v>
      </c>
      <c r="B19" t="s">
        <v>49</v>
      </c>
      <c r="C19" t="s">
        <v>42</v>
      </c>
      <c r="D19" t="s">
        <v>43</v>
      </c>
      <c r="E19" t="s">
        <v>37</v>
      </c>
      <c r="F19" s="4">
        <v>-82011.03999999999</v>
      </c>
      <c r="G19" s="4">
        <v>-89494.34</v>
      </c>
      <c r="H19" s="4">
        <v>7483.3</v>
      </c>
    </row>
    <row r="20" spans="1:8">
      <c r="A20" t="s">
        <v>23</v>
      </c>
      <c r="B20" t="s">
        <v>49</v>
      </c>
      <c r="C20" t="s">
        <v>44</v>
      </c>
      <c r="D20" t="s">
        <v>45</v>
      </c>
      <c r="E20" t="s">
        <v>37</v>
      </c>
      <c r="F20" s="4">
        <v>-69733.75</v>
      </c>
      <c r="G20" s="4">
        <v>-77879.55</v>
      </c>
      <c r="H20" s="4">
        <v>8145.8</v>
      </c>
    </row>
    <row r="21" spans="1:8">
      <c r="A21" t="s">
        <v>23</v>
      </c>
      <c r="B21" t="s">
        <v>49</v>
      </c>
      <c r="C21" t="s">
        <v>46</v>
      </c>
      <c r="D21" t="s">
        <v>47</v>
      </c>
      <c r="E21" t="s">
        <v>48</v>
      </c>
      <c r="F21" s="4">
        <v>-48192.8</v>
      </c>
      <c r="G21" s="4">
        <v>-46837.65</v>
      </c>
      <c r="H21" s="4">
        <v>-1355.15</v>
      </c>
    </row>
    <row r="22" spans="1:8">
      <c r="A22" t="s">
        <v>23</v>
      </c>
      <c r="B22" t="s">
        <v>50</v>
      </c>
      <c r="C22" t="s">
        <v>25</v>
      </c>
      <c r="D22" t="s">
        <v>26</v>
      </c>
      <c r="E22" t="s">
        <v>27</v>
      </c>
      <c r="F22" s="4">
        <v>778911.86</v>
      </c>
      <c r="G22" s="4">
        <v>825468.38</v>
      </c>
      <c r="H22" s="4">
        <v>-46556.52</v>
      </c>
    </row>
    <row r="23" spans="1:8">
      <c r="A23" t="s">
        <v>23</v>
      </c>
      <c r="B23" t="s">
        <v>50</v>
      </c>
      <c r="C23" t="s">
        <v>28</v>
      </c>
      <c r="D23" t="s">
        <v>29</v>
      </c>
      <c r="E23" t="s">
        <v>27</v>
      </c>
      <c r="F23" s="4">
        <v>385865.95</v>
      </c>
      <c r="G23" s="4">
        <v>353997.27</v>
      </c>
      <c r="H23" s="4">
        <v>31868.68</v>
      </c>
    </row>
    <row r="24" spans="1:8">
      <c r="A24" t="s">
        <v>23</v>
      </c>
      <c r="B24" t="s">
        <v>50</v>
      </c>
      <c r="C24" t="s">
        <v>30</v>
      </c>
      <c r="D24" t="s">
        <v>31</v>
      </c>
      <c r="E24" t="s">
        <v>27</v>
      </c>
      <c r="F24" s="4">
        <v>245586.72</v>
      </c>
      <c r="G24" s="4">
        <v>254507.18</v>
      </c>
      <c r="H24" s="4">
        <v>-8920.459999999999</v>
      </c>
    </row>
    <row r="25" spans="1:8">
      <c r="A25" t="s">
        <v>23</v>
      </c>
      <c r="B25" t="s">
        <v>50</v>
      </c>
      <c r="C25" t="s">
        <v>32</v>
      </c>
      <c r="D25" t="s">
        <v>33</v>
      </c>
      <c r="E25" t="s">
        <v>34</v>
      </c>
      <c r="F25" s="4">
        <v>-402281.27</v>
      </c>
      <c r="G25" s="4">
        <v>-411497.68</v>
      </c>
      <c r="H25" s="4">
        <v>9216.41</v>
      </c>
    </row>
    <row r="26" spans="1:8">
      <c r="A26" t="s">
        <v>23</v>
      </c>
      <c r="B26" t="s">
        <v>50</v>
      </c>
      <c r="C26" t="s">
        <v>35</v>
      </c>
      <c r="D26" t="s">
        <v>36</v>
      </c>
      <c r="E26" t="s">
        <v>37</v>
      </c>
      <c r="F26" s="4">
        <v>-121835.14</v>
      </c>
      <c r="G26" s="4">
        <v>-129333.24</v>
      </c>
      <c r="H26" s="4">
        <v>7498.1</v>
      </c>
    </row>
    <row r="27" spans="1:8">
      <c r="A27" t="s">
        <v>23</v>
      </c>
      <c r="B27" t="s">
        <v>50</v>
      </c>
      <c r="C27" t="s">
        <v>38</v>
      </c>
      <c r="D27" t="s">
        <v>39</v>
      </c>
      <c r="E27" t="s">
        <v>37</v>
      </c>
      <c r="F27" s="4">
        <v>-159661.89</v>
      </c>
      <c r="G27" s="4">
        <v>-166204.29</v>
      </c>
      <c r="H27" s="4">
        <v>6542.4</v>
      </c>
    </row>
    <row r="28" spans="1:8">
      <c r="A28" t="s">
        <v>23</v>
      </c>
      <c r="B28" t="s">
        <v>50</v>
      </c>
      <c r="C28" t="s">
        <v>40</v>
      </c>
      <c r="D28" t="s">
        <v>41</v>
      </c>
      <c r="E28" t="s">
        <v>37</v>
      </c>
      <c r="F28" s="4">
        <v>-353470.13</v>
      </c>
      <c r="G28" s="4">
        <v>-343597.49</v>
      </c>
      <c r="H28" s="4">
        <v>-9872.639999999999</v>
      </c>
    </row>
    <row r="29" spans="1:8">
      <c r="A29" t="s">
        <v>23</v>
      </c>
      <c r="B29" t="s">
        <v>50</v>
      </c>
      <c r="C29" t="s">
        <v>42</v>
      </c>
      <c r="D29" t="s">
        <v>43</v>
      </c>
      <c r="E29" t="s">
        <v>37</v>
      </c>
      <c r="F29" s="4">
        <v>-76164.73</v>
      </c>
      <c r="G29" s="4">
        <v>-73286.34</v>
      </c>
      <c r="H29" s="4">
        <v>-2878.39</v>
      </c>
    </row>
    <row r="30" spans="1:8">
      <c r="A30" t="s">
        <v>23</v>
      </c>
      <c r="B30" t="s">
        <v>50</v>
      </c>
      <c r="C30" t="s">
        <v>44</v>
      </c>
      <c r="D30" t="s">
        <v>45</v>
      </c>
      <c r="E30" t="s">
        <v>37</v>
      </c>
      <c r="F30" s="4">
        <v>-55596.5</v>
      </c>
      <c r="G30" s="4">
        <v>-55478.52</v>
      </c>
      <c r="H30" s="4">
        <v>-117.98</v>
      </c>
    </row>
    <row r="31" spans="1:8">
      <c r="A31" t="s">
        <v>23</v>
      </c>
      <c r="B31" t="s">
        <v>50</v>
      </c>
      <c r="C31" t="s">
        <v>46</v>
      </c>
      <c r="D31" t="s">
        <v>47</v>
      </c>
      <c r="E31" t="s">
        <v>48</v>
      </c>
      <c r="F31" s="4">
        <v>-43241.89</v>
      </c>
      <c r="G31" s="4">
        <v>-43078.97</v>
      </c>
      <c r="H31" s="4">
        <v>-162.92</v>
      </c>
    </row>
    <row r="32" spans="1:8">
      <c r="A32" t="s">
        <v>23</v>
      </c>
      <c r="B32" t="s">
        <v>51</v>
      </c>
      <c r="C32" t="s">
        <v>25</v>
      </c>
      <c r="D32" t="s">
        <v>26</v>
      </c>
      <c r="E32" t="s">
        <v>27</v>
      </c>
      <c r="F32" s="4">
        <v>581577.74</v>
      </c>
      <c r="G32" s="4">
        <v>630067.04</v>
      </c>
      <c r="H32" s="4">
        <v>-48489.3</v>
      </c>
    </row>
    <row r="33" spans="1:8">
      <c r="A33" t="s">
        <v>23</v>
      </c>
      <c r="B33" t="s">
        <v>51</v>
      </c>
      <c r="C33" t="s">
        <v>28</v>
      </c>
      <c r="D33" t="s">
        <v>29</v>
      </c>
      <c r="E33" t="s">
        <v>27</v>
      </c>
      <c r="F33" s="4">
        <v>295598.3</v>
      </c>
      <c r="G33" s="4">
        <v>282425.68</v>
      </c>
      <c r="H33" s="4">
        <v>13172.62</v>
      </c>
    </row>
    <row r="34" spans="1:8">
      <c r="A34" t="s">
        <v>23</v>
      </c>
      <c r="B34" t="s">
        <v>51</v>
      </c>
      <c r="C34" t="s">
        <v>30</v>
      </c>
      <c r="D34" t="s">
        <v>31</v>
      </c>
      <c r="E34" t="s">
        <v>27</v>
      </c>
      <c r="F34" s="4">
        <v>178856.38</v>
      </c>
      <c r="G34" s="4">
        <v>192236.86</v>
      </c>
      <c r="H34" s="4">
        <v>-13380.48</v>
      </c>
    </row>
    <row r="35" spans="1:8">
      <c r="A35" t="s">
        <v>23</v>
      </c>
      <c r="B35" t="s">
        <v>51</v>
      </c>
      <c r="C35" t="s">
        <v>32</v>
      </c>
      <c r="D35" t="s">
        <v>33</v>
      </c>
      <c r="E35" t="s">
        <v>34</v>
      </c>
      <c r="F35" s="4">
        <v>-283986.23</v>
      </c>
      <c r="G35" s="4">
        <v>-259095.34</v>
      </c>
      <c r="H35" s="4">
        <v>-24890.89</v>
      </c>
    </row>
    <row r="36" spans="1:8">
      <c r="A36" t="s">
        <v>23</v>
      </c>
      <c r="B36" t="s">
        <v>51</v>
      </c>
      <c r="C36" t="s">
        <v>35</v>
      </c>
      <c r="D36" t="s">
        <v>36</v>
      </c>
      <c r="E36" t="s">
        <v>37</v>
      </c>
      <c r="F36" s="4">
        <v>-88180.42</v>
      </c>
      <c r="G36" s="4">
        <v>-95881.06</v>
      </c>
      <c r="H36" s="4">
        <v>7700.64</v>
      </c>
    </row>
    <row r="37" spans="1:8">
      <c r="A37" t="s">
        <v>23</v>
      </c>
      <c r="B37" t="s">
        <v>51</v>
      </c>
      <c r="C37" t="s">
        <v>38</v>
      </c>
      <c r="D37" t="s">
        <v>39</v>
      </c>
      <c r="E37" t="s">
        <v>37</v>
      </c>
      <c r="F37" s="4">
        <v>-112968.36</v>
      </c>
      <c r="G37" s="4">
        <v>-124568.61</v>
      </c>
      <c r="H37" s="4">
        <v>11600.25</v>
      </c>
    </row>
    <row r="38" spans="1:8">
      <c r="A38" t="s">
        <v>23</v>
      </c>
      <c r="B38" t="s">
        <v>51</v>
      </c>
      <c r="C38" t="s">
        <v>40</v>
      </c>
      <c r="D38" t="s">
        <v>41</v>
      </c>
      <c r="E38" t="s">
        <v>37</v>
      </c>
      <c r="F38" s="4">
        <v>-255131.37</v>
      </c>
      <c r="G38" s="4">
        <v>-245439.72</v>
      </c>
      <c r="H38" s="4">
        <v>-9691.65</v>
      </c>
    </row>
    <row r="39" spans="1:8">
      <c r="A39" t="s">
        <v>23</v>
      </c>
      <c r="B39" t="s">
        <v>51</v>
      </c>
      <c r="C39" t="s">
        <v>42</v>
      </c>
      <c r="D39" t="s">
        <v>43</v>
      </c>
      <c r="E39" t="s">
        <v>37</v>
      </c>
      <c r="F39" s="4">
        <v>-54896.83</v>
      </c>
      <c r="G39" s="4">
        <v>-51022.06</v>
      </c>
      <c r="H39" s="4">
        <v>-3874.77</v>
      </c>
    </row>
    <row r="40" spans="1:8">
      <c r="A40" t="s">
        <v>23</v>
      </c>
      <c r="B40" t="s">
        <v>51</v>
      </c>
      <c r="C40" t="s">
        <v>44</v>
      </c>
      <c r="D40" t="s">
        <v>45</v>
      </c>
      <c r="E40" t="s">
        <v>37</v>
      </c>
      <c r="F40" s="4">
        <v>-39759.49</v>
      </c>
      <c r="G40" s="4">
        <v>-37360.21</v>
      </c>
      <c r="H40" s="4">
        <v>-2399.28</v>
      </c>
    </row>
    <row r="41" spans="1:8">
      <c r="A41" t="s">
        <v>23</v>
      </c>
      <c r="B41" t="s">
        <v>51</v>
      </c>
      <c r="C41" t="s">
        <v>46</v>
      </c>
      <c r="D41" t="s">
        <v>47</v>
      </c>
      <c r="E41" t="s">
        <v>48</v>
      </c>
      <c r="F41" s="4">
        <v>-32385.02</v>
      </c>
      <c r="G41" s="4">
        <v>-33432.93</v>
      </c>
      <c r="H41" s="4">
        <v>1047.91</v>
      </c>
    </row>
    <row r="42" spans="1:8">
      <c r="A42" t="s">
        <v>52</v>
      </c>
      <c r="B42" t="s">
        <v>24</v>
      </c>
      <c r="C42" t="s">
        <v>25</v>
      </c>
      <c r="D42" t="s">
        <v>26</v>
      </c>
      <c r="E42" t="s">
        <v>27</v>
      </c>
      <c r="F42" s="4">
        <v>343047.52</v>
      </c>
      <c r="G42" s="4">
        <v>320731.74</v>
      </c>
      <c r="H42" s="4">
        <v>22315.78</v>
      </c>
    </row>
    <row r="43" spans="1:8">
      <c r="A43" t="s">
        <v>52</v>
      </c>
      <c r="B43" t="s">
        <v>24</v>
      </c>
      <c r="C43" t="s">
        <v>28</v>
      </c>
      <c r="D43" t="s">
        <v>29</v>
      </c>
      <c r="E43" t="s">
        <v>27</v>
      </c>
      <c r="F43" s="4">
        <v>182176.52</v>
      </c>
      <c r="G43" s="4">
        <v>169254.97</v>
      </c>
      <c r="H43" s="4">
        <v>12921.55</v>
      </c>
    </row>
    <row r="44" spans="1:8">
      <c r="A44" t="s">
        <v>52</v>
      </c>
      <c r="B44" t="s">
        <v>24</v>
      </c>
      <c r="C44" t="s">
        <v>30</v>
      </c>
      <c r="D44" t="s">
        <v>31</v>
      </c>
      <c r="E44" t="s">
        <v>27</v>
      </c>
      <c r="F44" s="4">
        <v>106723.4</v>
      </c>
      <c r="G44" s="4">
        <v>102579.04</v>
      </c>
      <c r="H44" s="4">
        <v>4144.36</v>
      </c>
    </row>
    <row r="45" spans="1:8">
      <c r="A45" t="s">
        <v>52</v>
      </c>
      <c r="B45" t="s">
        <v>24</v>
      </c>
      <c r="C45" t="s">
        <v>32</v>
      </c>
      <c r="D45" t="s">
        <v>33</v>
      </c>
      <c r="E45" t="s">
        <v>34</v>
      </c>
      <c r="F45" s="4">
        <v>-168470.4</v>
      </c>
      <c r="G45" s="4">
        <v>-162418.41</v>
      </c>
      <c r="H45" s="4">
        <v>-6051.99</v>
      </c>
    </row>
    <row r="46" spans="1:8">
      <c r="A46" t="s">
        <v>52</v>
      </c>
      <c r="B46" t="s">
        <v>24</v>
      </c>
      <c r="C46" t="s">
        <v>35</v>
      </c>
      <c r="D46" t="s">
        <v>36</v>
      </c>
      <c r="E46" t="s">
        <v>37</v>
      </c>
      <c r="F46" s="4">
        <v>-58442.39</v>
      </c>
      <c r="G46" s="4">
        <v>-60992.69</v>
      </c>
      <c r="H46" s="4">
        <v>2550.3</v>
      </c>
    </row>
    <row r="47" spans="1:8">
      <c r="A47" t="s">
        <v>52</v>
      </c>
      <c r="B47" t="s">
        <v>24</v>
      </c>
      <c r="C47" t="s">
        <v>38</v>
      </c>
      <c r="D47" t="s">
        <v>39</v>
      </c>
      <c r="E47" t="s">
        <v>37</v>
      </c>
      <c r="F47" s="4">
        <v>-74820.39999999999</v>
      </c>
      <c r="G47" s="4">
        <v>-67516.3</v>
      </c>
      <c r="H47" s="4">
        <v>-7304.1</v>
      </c>
    </row>
    <row r="48" spans="1:8">
      <c r="A48" t="s">
        <v>52</v>
      </c>
      <c r="B48" t="s">
        <v>24</v>
      </c>
      <c r="C48" t="s">
        <v>40</v>
      </c>
      <c r="D48" t="s">
        <v>41</v>
      </c>
      <c r="E48" t="s">
        <v>37</v>
      </c>
      <c r="F48" s="4">
        <v>-148083.05</v>
      </c>
      <c r="G48" s="4">
        <v>-153565.51</v>
      </c>
      <c r="H48" s="4">
        <v>5482.46</v>
      </c>
    </row>
    <row r="49" spans="1:8">
      <c r="A49" t="s">
        <v>52</v>
      </c>
      <c r="B49" t="s">
        <v>24</v>
      </c>
      <c r="C49" t="s">
        <v>42</v>
      </c>
      <c r="D49" t="s">
        <v>43</v>
      </c>
      <c r="E49" t="s">
        <v>37</v>
      </c>
      <c r="F49" s="4">
        <v>-31315.04</v>
      </c>
      <c r="G49" s="4">
        <v>-30081.45</v>
      </c>
      <c r="H49" s="4">
        <v>-1233.59</v>
      </c>
    </row>
    <row r="50" spans="1:8">
      <c r="A50" t="s">
        <v>52</v>
      </c>
      <c r="B50" t="s">
        <v>24</v>
      </c>
      <c r="C50" t="s">
        <v>44</v>
      </c>
      <c r="D50" t="s">
        <v>45</v>
      </c>
      <c r="E50" t="s">
        <v>37</v>
      </c>
      <c r="F50" s="4">
        <v>-26781.65</v>
      </c>
      <c r="G50" s="4">
        <v>-24300.05</v>
      </c>
      <c r="H50" s="4">
        <v>-2481.6</v>
      </c>
    </row>
    <row r="51" spans="1:8">
      <c r="A51" t="s">
        <v>52</v>
      </c>
      <c r="B51" t="s">
        <v>24</v>
      </c>
      <c r="C51" t="s">
        <v>46</v>
      </c>
      <c r="D51" t="s">
        <v>47</v>
      </c>
      <c r="E51" t="s">
        <v>48</v>
      </c>
      <c r="F51" s="4">
        <v>-19875.04</v>
      </c>
      <c r="G51" s="4">
        <v>-20374.07</v>
      </c>
      <c r="H51" s="4">
        <v>499.03</v>
      </c>
    </row>
    <row r="52" spans="1:8">
      <c r="A52" t="s">
        <v>52</v>
      </c>
      <c r="B52" t="s">
        <v>49</v>
      </c>
      <c r="C52" t="s">
        <v>25</v>
      </c>
      <c r="D52" t="s">
        <v>26</v>
      </c>
      <c r="E52" t="s">
        <v>27</v>
      </c>
      <c r="F52" s="4">
        <v>961499.21</v>
      </c>
      <c r="G52" s="4">
        <v>876866.89</v>
      </c>
      <c r="H52" s="4">
        <v>84632.32000000001</v>
      </c>
    </row>
    <row r="53" spans="1:8">
      <c r="A53" t="s">
        <v>52</v>
      </c>
      <c r="B53" t="s">
        <v>49</v>
      </c>
      <c r="C53" t="s">
        <v>28</v>
      </c>
      <c r="D53" t="s">
        <v>29</v>
      </c>
      <c r="E53" t="s">
        <v>27</v>
      </c>
      <c r="F53" s="4">
        <v>496008.85</v>
      </c>
      <c r="G53" s="4">
        <v>483460.08</v>
      </c>
      <c r="H53" s="4">
        <v>12548.77</v>
      </c>
    </row>
    <row r="54" spans="1:8">
      <c r="A54" t="s">
        <v>52</v>
      </c>
      <c r="B54" t="s">
        <v>49</v>
      </c>
      <c r="C54" t="s">
        <v>30</v>
      </c>
      <c r="D54" t="s">
        <v>31</v>
      </c>
      <c r="E54" t="s">
        <v>27</v>
      </c>
      <c r="F54" s="4">
        <v>294102.69</v>
      </c>
      <c r="G54" s="4">
        <v>294555.63</v>
      </c>
      <c r="H54" s="4">
        <v>-452.94</v>
      </c>
    </row>
    <row r="55" spans="1:8">
      <c r="A55" t="s">
        <v>52</v>
      </c>
      <c r="B55" t="s">
        <v>49</v>
      </c>
      <c r="C55" t="s">
        <v>32</v>
      </c>
      <c r="D55" t="s">
        <v>33</v>
      </c>
      <c r="E55" t="s">
        <v>34</v>
      </c>
      <c r="F55" s="4">
        <v>-464505.08</v>
      </c>
      <c r="G55" s="4">
        <v>-473843.34</v>
      </c>
      <c r="H55" s="4">
        <v>9338.26</v>
      </c>
    </row>
    <row r="56" spans="1:8">
      <c r="A56" t="s">
        <v>52</v>
      </c>
      <c r="B56" t="s">
        <v>49</v>
      </c>
      <c r="C56" t="s">
        <v>35</v>
      </c>
      <c r="D56" t="s">
        <v>36</v>
      </c>
      <c r="E56" t="s">
        <v>37</v>
      </c>
      <c r="F56" s="4">
        <v>-153718.34</v>
      </c>
      <c r="G56" s="4">
        <v>-153796.99</v>
      </c>
      <c r="H56" s="4">
        <v>78.65000000000001</v>
      </c>
    </row>
    <row r="57" spans="1:8">
      <c r="A57" t="s">
        <v>52</v>
      </c>
      <c r="B57" t="s">
        <v>49</v>
      </c>
      <c r="C57" t="s">
        <v>38</v>
      </c>
      <c r="D57" t="s">
        <v>39</v>
      </c>
      <c r="E57" t="s">
        <v>37</v>
      </c>
      <c r="F57" s="4">
        <v>-198412.98</v>
      </c>
      <c r="G57" s="4">
        <v>-219301.68</v>
      </c>
      <c r="H57" s="4">
        <v>20888.7</v>
      </c>
    </row>
    <row r="58" spans="1:8">
      <c r="A58" t="s">
        <v>52</v>
      </c>
      <c r="B58" t="s">
        <v>49</v>
      </c>
      <c r="C58" t="s">
        <v>40</v>
      </c>
      <c r="D58" t="s">
        <v>41</v>
      </c>
      <c r="E58" t="s">
        <v>37</v>
      </c>
      <c r="F58" s="4">
        <v>-417046.67</v>
      </c>
      <c r="G58" s="4">
        <v>-377773.22</v>
      </c>
      <c r="H58" s="4">
        <v>-39273.45</v>
      </c>
    </row>
    <row r="59" spans="1:8">
      <c r="A59" t="s">
        <v>52</v>
      </c>
      <c r="B59" t="s">
        <v>49</v>
      </c>
      <c r="C59" t="s">
        <v>42</v>
      </c>
      <c r="D59" t="s">
        <v>43</v>
      </c>
      <c r="E59" t="s">
        <v>37</v>
      </c>
      <c r="F59" s="4">
        <v>-81501.06</v>
      </c>
      <c r="G59" s="4">
        <v>-86273.39999999999</v>
      </c>
      <c r="H59" s="4">
        <v>4772.34</v>
      </c>
    </row>
    <row r="60" spans="1:8">
      <c r="A60" t="s">
        <v>52</v>
      </c>
      <c r="B60" t="s">
        <v>49</v>
      </c>
      <c r="C60" t="s">
        <v>44</v>
      </c>
      <c r="D60" t="s">
        <v>45</v>
      </c>
      <c r="E60" t="s">
        <v>37</v>
      </c>
      <c r="F60" s="4">
        <v>-66785.39</v>
      </c>
      <c r="G60" s="4">
        <v>-72768.47</v>
      </c>
      <c r="H60" s="4">
        <v>5983.08</v>
      </c>
    </row>
    <row r="61" spans="1:8">
      <c r="A61" t="s">
        <v>52</v>
      </c>
      <c r="B61" t="s">
        <v>49</v>
      </c>
      <c r="C61" t="s">
        <v>46</v>
      </c>
      <c r="D61" t="s">
        <v>47</v>
      </c>
      <c r="E61" t="s">
        <v>48</v>
      </c>
      <c r="F61" s="4">
        <v>-52516.3</v>
      </c>
      <c r="G61" s="4">
        <v>-50098.35</v>
      </c>
      <c r="H61" s="4">
        <v>-2417.95</v>
      </c>
    </row>
    <row r="62" spans="1:8">
      <c r="A62" t="s">
        <v>52</v>
      </c>
      <c r="B62" t="s">
        <v>50</v>
      </c>
      <c r="C62" t="s">
        <v>25</v>
      </c>
      <c r="D62" t="s">
        <v>26</v>
      </c>
      <c r="E62" t="s">
        <v>27</v>
      </c>
      <c r="F62" s="4">
        <v>811192.27</v>
      </c>
      <c r="G62" s="4">
        <v>907743.11</v>
      </c>
      <c r="H62" s="4">
        <v>-96550.84</v>
      </c>
    </row>
    <row r="63" spans="1:8">
      <c r="A63" t="s">
        <v>52</v>
      </c>
      <c r="B63" t="s">
        <v>50</v>
      </c>
      <c r="C63" t="s">
        <v>28</v>
      </c>
      <c r="D63" t="s">
        <v>29</v>
      </c>
      <c r="E63" t="s">
        <v>27</v>
      </c>
      <c r="F63" s="4">
        <v>407758.37</v>
      </c>
      <c r="G63" s="4">
        <v>447893.16</v>
      </c>
      <c r="H63" s="4">
        <v>-40134.79</v>
      </c>
    </row>
    <row r="64" spans="1:8">
      <c r="A64" t="s">
        <v>52</v>
      </c>
      <c r="B64" t="s">
        <v>50</v>
      </c>
      <c r="C64" t="s">
        <v>30</v>
      </c>
      <c r="D64" t="s">
        <v>31</v>
      </c>
      <c r="E64" t="s">
        <v>27</v>
      </c>
      <c r="F64" s="4">
        <v>254392.92</v>
      </c>
      <c r="G64" s="4">
        <v>268936.96</v>
      </c>
      <c r="H64" s="4">
        <v>-14544.04</v>
      </c>
    </row>
    <row r="65" spans="1:8">
      <c r="A65" t="s">
        <v>52</v>
      </c>
      <c r="B65" t="s">
        <v>50</v>
      </c>
      <c r="C65" t="s">
        <v>32</v>
      </c>
      <c r="D65" t="s">
        <v>33</v>
      </c>
      <c r="E65" t="s">
        <v>34</v>
      </c>
      <c r="F65" s="4">
        <v>-438529.8</v>
      </c>
      <c r="G65" s="4">
        <v>-445512.81</v>
      </c>
      <c r="H65" s="4">
        <v>6983.01</v>
      </c>
    </row>
    <row r="66" spans="1:8">
      <c r="A66" t="s">
        <v>52</v>
      </c>
      <c r="B66" t="s">
        <v>50</v>
      </c>
      <c r="C66" t="s">
        <v>35</v>
      </c>
      <c r="D66" t="s">
        <v>36</v>
      </c>
      <c r="E66" t="s">
        <v>37</v>
      </c>
      <c r="F66" s="4">
        <v>-134504.59</v>
      </c>
      <c r="G66" s="4">
        <v>-122626.09</v>
      </c>
      <c r="H66" s="4">
        <v>-11878.5</v>
      </c>
    </row>
    <row r="67" spans="1:8">
      <c r="A67" t="s">
        <v>52</v>
      </c>
      <c r="B67" t="s">
        <v>50</v>
      </c>
      <c r="C67" t="s">
        <v>38</v>
      </c>
      <c r="D67" t="s">
        <v>39</v>
      </c>
      <c r="E67" t="s">
        <v>37</v>
      </c>
      <c r="F67" s="4">
        <v>-157669.86</v>
      </c>
      <c r="G67" s="4">
        <v>-156929.6</v>
      </c>
      <c r="H67" s="4">
        <v>-740.26</v>
      </c>
    </row>
    <row r="68" spans="1:8">
      <c r="A68" t="s">
        <v>52</v>
      </c>
      <c r="B68" t="s">
        <v>50</v>
      </c>
      <c r="C68" t="s">
        <v>40</v>
      </c>
      <c r="D68" t="s">
        <v>41</v>
      </c>
      <c r="E68" t="s">
        <v>37</v>
      </c>
      <c r="F68" s="4">
        <v>-349067.94</v>
      </c>
      <c r="G68" s="4">
        <v>-353557.75</v>
      </c>
      <c r="H68" s="4">
        <v>4489.81</v>
      </c>
    </row>
    <row r="69" spans="1:8">
      <c r="A69" t="s">
        <v>52</v>
      </c>
      <c r="B69" t="s">
        <v>50</v>
      </c>
      <c r="C69" t="s">
        <v>42</v>
      </c>
      <c r="D69" t="s">
        <v>43</v>
      </c>
      <c r="E69" t="s">
        <v>37</v>
      </c>
      <c r="F69" s="4">
        <v>-72228.5</v>
      </c>
      <c r="G69" s="4">
        <v>-66366.5</v>
      </c>
      <c r="H69" s="4">
        <v>-5862</v>
      </c>
    </row>
    <row r="70" spans="1:8">
      <c r="A70" t="s">
        <v>52</v>
      </c>
      <c r="B70" t="s">
        <v>50</v>
      </c>
      <c r="C70" t="s">
        <v>44</v>
      </c>
      <c r="D70" t="s">
        <v>45</v>
      </c>
      <c r="E70" t="s">
        <v>37</v>
      </c>
      <c r="F70" s="4">
        <v>-60019.94</v>
      </c>
      <c r="G70" s="4">
        <v>-64732.57</v>
      </c>
      <c r="H70" s="4">
        <v>4712.63</v>
      </c>
    </row>
    <row r="71" spans="1:8">
      <c r="A71" t="s">
        <v>52</v>
      </c>
      <c r="B71" t="s">
        <v>50</v>
      </c>
      <c r="C71" t="s">
        <v>46</v>
      </c>
      <c r="D71" t="s">
        <v>47</v>
      </c>
      <c r="E71" t="s">
        <v>48</v>
      </c>
      <c r="F71" s="4">
        <v>-42584.04</v>
      </c>
      <c r="G71" s="4">
        <v>-47290.22</v>
      </c>
      <c r="H71" s="4">
        <v>4706.18</v>
      </c>
    </row>
    <row r="72" spans="1:8">
      <c r="A72" t="s">
        <v>52</v>
      </c>
      <c r="B72" t="s">
        <v>51</v>
      </c>
      <c r="C72" t="s">
        <v>25</v>
      </c>
      <c r="D72" t="s">
        <v>26</v>
      </c>
      <c r="E72" t="s">
        <v>27</v>
      </c>
      <c r="F72" s="4">
        <v>547025.6</v>
      </c>
      <c r="G72" s="4">
        <v>612204.04</v>
      </c>
      <c r="H72" s="4">
        <v>-65178.44</v>
      </c>
    </row>
    <row r="73" spans="1:8">
      <c r="A73" t="s">
        <v>52</v>
      </c>
      <c r="B73" t="s">
        <v>51</v>
      </c>
      <c r="C73" t="s">
        <v>28</v>
      </c>
      <c r="D73" t="s">
        <v>29</v>
      </c>
      <c r="E73" t="s">
        <v>27</v>
      </c>
      <c r="F73" s="4">
        <v>281203</v>
      </c>
      <c r="G73" s="4">
        <v>291247.39</v>
      </c>
      <c r="H73" s="4">
        <v>-10044.39</v>
      </c>
    </row>
    <row r="74" spans="1:8">
      <c r="A74" t="s">
        <v>52</v>
      </c>
      <c r="B74" t="s">
        <v>51</v>
      </c>
      <c r="C74" t="s">
        <v>30</v>
      </c>
      <c r="D74" t="s">
        <v>31</v>
      </c>
      <c r="E74" t="s">
        <v>27</v>
      </c>
      <c r="F74" s="4">
        <v>170225.74</v>
      </c>
      <c r="G74" s="4">
        <v>163538.04</v>
      </c>
      <c r="H74" s="4">
        <v>6687.7</v>
      </c>
    </row>
    <row r="75" spans="1:8">
      <c r="A75" t="s">
        <v>52</v>
      </c>
      <c r="B75" t="s">
        <v>51</v>
      </c>
      <c r="C75" t="s">
        <v>32</v>
      </c>
      <c r="D75" t="s">
        <v>33</v>
      </c>
      <c r="E75" t="s">
        <v>34</v>
      </c>
      <c r="F75" s="4">
        <v>-281054.15</v>
      </c>
      <c r="G75" s="4">
        <v>-266237.42</v>
      </c>
      <c r="H75" s="4">
        <v>-14816.73</v>
      </c>
    </row>
    <row r="76" spans="1:8">
      <c r="A76" t="s">
        <v>52</v>
      </c>
      <c r="B76" t="s">
        <v>51</v>
      </c>
      <c r="C76" t="s">
        <v>35</v>
      </c>
      <c r="D76" t="s">
        <v>36</v>
      </c>
      <c r="E76" t="s">
        <v>37</v>
      </c>
      <c r="F76" s="4">
        <v>-95275.00999999999</v>
      </c>
      <c r="G76" s="4">
        <v>-103423.23</v>
      </c>
      <c r="H76" s="4">
        <v>8148.22</v>
      </c>
    </row>
    <row r="77" spans="1:8">
      <c r="A77" t="s">
        <v>52</v>
      </c>
      <c r="B77" t="s">
        <v>51</v>
      </c>
      <c r="C77" t="s">
        <v>38</v>
      </c>
      <c r="D77" t="s">
        <v>39</v>
      </c>
      <c r="E77" t="s">
        <v>37</v>
      </c>
      <c r="F77" s="4">
        <v>-117023.95</v>
      </c>
      <c r="G77" s="4">
        <v>-110532.22</v>
      </c>
      <c r="H77" s="4">
        <v>-6491.73</v>
      </c>
    </row>
    <row r="78" spans="1:8">
      <c r="A78" t="s">
        <v>52</v>
      </c>
      <c r="B78" t="s">
        <v>51</v>
      </c>
      <c r="C78" t="s">
        <v>40</v>
      </c>
      <c r="D78" t="s">
        <v>41</v>
      </c>
      <c r="E78" t="s">
        <v>37</v>
      </c>
      <c r="F78" s="4">
        <v>-226407</v>
      </c>
      <c r="G78" s="4">
        <v>-207611.83</v>
      </c>
      <c r="H78" s="4">
        <v>-18795.17</v>
      </c>
    </row>
    <row r="79" spans="1:8">
      <c r="A79" t="s">
        <v>52</v>
      </c>
      <c r="B79" t="s">
        <v>51</v>
      </c>
      <c r="C79" t="s">
        <v>42</v>
      </c>
      <c r="D79" t="s">
        <v>43</v>
      </c>
      <c r="E79" t="s">
        <v>37</v>
      </c>
      <c r="F79" s="4">
        <v>-49136</v>
      </c>
      <c r="G79" s="4">
        <v>-44978.38</v>
      </c>
      <c r="H79" s="4">
        <v>-4157.62</v>
      </c>
    </row>
    <row r="80" spans="1:8">
      <c r="A80" t="s">
        <v>52</v>
      </c>
      <c r="B80" t="s">
        <v>51</v>
      </c>
      <c r="C80" t="s">
        <v>44</v>
      </c>
      <c r="D80" t="s">
        <v>45</v>
      </c>
      <c r="E80" t="s">
        <v>37</v>
      </c>
      <c r="F80" s="4">
        <v>-41320.45</v>
      </c>
      <c r="G80" s="4">
        <v>-37692.33</v>
      </c>
      <c r="H80" s="4">
        <v>-3628.12</v>
      </c>
    </row>
    <row r="81" spans="1:8">
      <c r="A81" t="s">
        <v>52</v>
      </c>
      <c r="B81" t="s">
        <v>51</v>
      </c>
      <c r="C81" t="s">
        <v>46</v>
      </c>
      <c r="D81" t="s">
        <v>47</v>
      </c>
      <c r="E81" t="s">
        <v>48</v>
      </c>
      <c r="F81" s="4">
        <v>-29737.85</v>
      </c>
      <c r="G81" s="4">
        <v>-29755.8</v>
      </c>
      <c r="H81" s="4">
        <v>17.95</v>
      </c>
    </row>
    <row r="82" spans="1:8">
      <c r="A82" t="s">
        <v>53</v>
      </c>
      <c r="B82" t="s">
        <v>24</v>
      </c>
      <c r="C82" t="s">
        <v>25</v>
      </c>
      <c r="D82" t="s">
        <v>26</v>
      </c>
      <c r="E82" t="s">
        <v>27</v>
      </c>
      <c r="F82" s="4">
        <v>365712.36</v>
      </c>
      <c r="G82" s="4">
        <v>351104.65</v>
      </c>
      <c r="H82" s="4">
        <v>14607.71</v>
      </c>
    </row>
    <row r="83" spans="1:8">
      <c r="A83" t="s">
        <v>53</v>
      </c>
      <c r="B83" t="s">
        <v>24</v>
      </c>
      <c r="C83" t="s">
        <v>28</v>
      </c>
      <c r="D83" t="s">
        <v>29</v>
      </c>
      <c r="E83" t="s">
        <v>27</v>
      </c>
      <c r="F83" s="4">
        <v>187187.34</v>
      </c>
      <c r="G83" s="4">
        <v>204616.67</v>
      </c>
      <c r="H83" s="4">
        <v>-17429.33</v>
      </c>
    </row>
    <row r="84" spans="1:8">
      <c r="A84" t="s">
        <v>53</v>
      </c>
      <c r="B84" t="s">
        <v>24</v>
      </c>
      <c r="C84" t="s">
        <v>30</v>
      </c>
      <c r="D84" t="s">
        <v>31</v>
      </c>
      <c r="E84" t="s">
        <v>27</v>
      </c>
      <c r="F84" s="4">
        <v>117199.22</v>
      </c>
      <c r="G84" s="4">
        <v>127665.7</v>
      </c>
      <c r="H84" s="4">
        <v>-10466.48</v>
      </c>
    </row>
    <row r="85" spans="1:8">
      <c r="A85" t="s">
        <v>53</v>
      </c>
      <c r="B85" t="s">
        <v>24</v>
      </c>
      <c r="C85" t="s">
        <v>32</v>
      </c>
      <c r="D85" t="s">
        <v>33</v>
      </c>
      <c r="E85" t="s">
        <v>34</v>
      </c>
      <c r="F85" s="4">
        <v>-190374.4</v>
      </c>
      <c r="G85" s="4">
        <v>-212283.68</v>
      </c>
      <c r="H85" s="4">
        <v>21909.28</v>
      </c>
    </row>
    <row r="86" spans="1:8">
      <c r="A86" t="s">
        <v>53</v>
      </c>
      <c r="B86" t="s">
        <v>24</v>
      </c>
      <c r="C86" t="s">
        <v>35</v>
      </c>
      <c r="D86" t="s">
        <v>36</v>
      </c>
      <c r="E86" t="s">
        <v>37</v>
      </c>
      <c r="F86" s="4">
        <v>-59689.51</v>
      </c>
      <c r="G86" s="4">
        <v>-60822.03</v>
      </c>
      <c r="H86" s="4">
        <v>1132.52</v>
      </c>
    </row>
    <row r="87" spans="1:8">
      <c r="A87" t="s">
        <v>53</v>
      </c>
      <c r="B87" t="s">
        <v>24</v>
      </c>
      <c r="C87" t="s">
        <v>38</v>
      </c>
      <c r="D87" t="s">
        <v>39</v>
      </c>
      <c r="E87" t="s">
        <v>37</v>
      </c>
      <c r="F87" s="4">
        <v>-74643.72</v>
      </c>
      <c r="G87" s="4">
        <v>-76527.77</v>
      </c>
      <c r="H87" s="4">
        <v>1884.05</v>
      </c>
    </row>
    <row r="88" spans="1:8">
      <c r="A88" t="s">
        <v>53</v>
      </c>
      <c r="B88" t="s">
        <v>24</v>
      </c>
      <c r="C88" t="s">
        <v>40</v>
      </c>
      <c r="D88" t="s">
        <v>41</v>
      </c>
      <c r="E88" t="s">
        <v>37</v>
      </c>
      <c r="F88" s="4">
        <v>-172754.68</v>
      </c>
      <c r="G88" s="4">
        <v>-168137.29</v>
      </c>
      <c r="H88" s="4">
        <v>-4617.39</v>
      </c>
    </row>
    <row r="89" spans="1:8">
      <c r="A89" t="s">
        <v>53</v>
      </c>
      <c r="B89" t="s">
        <v>24</v>
      </c>
      <c r="C89" t="s">
        <v>42</v>
      </c>
      <c r="D89" t="s">
        <v>43</v>
      </c>
      <c r="E89" t="s">
        <v>37</v>
      </c>
      <c r="F89" s="4">
        <v>-35074.29</v>
      </c>
      <c r="G89" s="4">
        <v>-37544.25</v>
      </c>
      <c r="H89" s="4">
        <v>2469.96</v>
      </c>
    </row>
    <row r="90" spans="1:8">
      <c r="A90" t="s">
        <v>53</v>
      </c>
      <c r="B90" t="s">
        <v>24</v>
      </c>
      <c r="C90" t="s">
        <v>44</v>
      </c>
      <c r="D90" t="s">
        <v>45</v>
      </c>
      <c r="E90" t="s">
        <v>37</v>
      </c>
      <c r="F90" s="4">
        <v>-25932.46</v>
      </c>
      <c r="G90" s="4">
        <v>-25107.81</v>
      </c>
      <c r="H90" s="4">
        <v>-824.65</v>
      </c>
    </row>
    <row r="91" spans="1:8">
      <c r="A91" t="s">
        <v>53</v>
      </c>
      <c r="B91" t="s">
        <v>24</v>
      </c>
      <c r="C91" t="s">
        <v>46</v>
      </c>
      <c r="D91" t="s">
        <v>47</v>
      </c>
      <c r="E91" t="s">
        <v>48</v>
      </c>
      <c r="F91" s="4">
        <v>-20740.24</v>
      </c>
      <c r="G91" s="4">
        <v>-21820.35</v>
      </c>
      <c r="H91" s="4">
        <v>1080.11</v>
      </c>
    </row>
    <row r="92" spans="1:8">
      <c r="A92" t="s">
        <v>53</v>
      </c>
      <c r="B92" t="s">
        <v>49</v>
      </c>
      <c r="C92" t="s">
        <v>25</v>
      </c>
      <c r="D92" t="s">
        <v>26</v>
      </c>
      <c r="E92" t="s">
        <v>27</v>
      </c>
      <c r="F92" s="4">
        <v>1030843.36</v>
      </c>
      <c r="G92" s="4">
        <v>1107775.28</v>
      </c>
      <c r="H92" s="4">
        <v>-76931.92</v>
      </c>
    </row>
    <row r="93" spans="1:8">
      <c r="A93" t="s">
        <v>53</v>
      </c>
      <c r="B93" t="s">
        <v>49</v>
      </c>
      <c r="C93" t="s">
        <v>28</v>
      </c>
      <c r="D93" t="s">
        <v>29</v>
      </c>
      <c r="E93" t="s">
        <v>27</v>
      </c>
      <c r="F93" s="4">
        <v>500378.44</v>
      </c>
      <c r="G93" s="4">
        <v>488866.06</v>
      </c>
      <c r="H93" s="4">
        <v>11512.38</v>
      </c>
    </row>
    <row r="94" spans="1:8">
      <c r="A94" t="s">
        <v>53</v>
      </c>
      <c r="B94" t="s">
        <v>49</v>
      </c>
      <c r="C94" t="s">
        <v>30</v>
      </c>
      <c r="D94" t="s">
        <v>31</v>
      </c>
      <c r="E94" t="s">
        <v>27</v>
      </c>
      <c r="F94" s="4">
        <v>318178.93</v>
      </c>
      <c r="G94" s="4">
        <v>342560.2</v>
      </c>
      <c r="H94" s="4">
        <v>-24381.27</v>
      </c>
    </row>
    <row r="95" spans="1:8">
      <c r="A95" t="s">
        <v>53</v>
      </c>
      <c r="B95" t="s">
        <v>49</v>
      </c>
      <c r="C95" t="s">
        <v>32</v>
      </c>
      <c r="D95" t="s">
        <v>33</v>
      </c>
      <c r="E95" t="s">
        <v>34</v>
      </c>
      <c r="F95" s="4">
        <v>-542219.0600000001</v>
      </c>
      <c r="G95" s="4">
        <v>-596127.8199999999</v>
      </c>
      <c r="H95" s="4">
        <v>53908.76</v>
      </c>
    </row>
    <row r="96" spans="1:8">
      <c r="A96" t="s">
        <v>53</v>
      </c>
      <c r="B96" t="s">
        <v>49</v>
      </c>
      <c r="C96" t="s">
        <v>35</v>
      </c>
      <c r="D96" t="s">
        <v>36</v>
      </c>
      <c r="E96" t="s">
        <v>37</v>
      </c>
      <c r="F96" s="4">
        <v>-177013.19</v>
      </c>
      <c r="G96" s="4">
        <v>-163489.68</v>
      </c>
      <c r="H96" s="4">
        <v>-13523.51</v>
      </c>
    </row>
    <row r="97" spans="1:8">
      <c r="A97" t="s">
        <v>53</v>
      </c>
      <c r="B97" t="s">
        <v>49</v>
      </c>
      <c r="C97" t="s">
        <v>38</v>
      </c>
      <c r="D97" t="s">
        <v>39</v>
      </c>
      <c r="E97" t="s">
        <v>37</v>
      </c>
      <c r="F97" s="4">
        <v>-198014.03</v>
      </c>
      <c r="G97" s="4">
        <v>-221420.86</v>
      </c>
      <c r="H97" s="4">
        <v>23406.83</v>
      </c>
    </row>
    <row r="98" spans="1:8">
      <c r="A98" t="s">
        <v>53</v>
      </c>
      <c r="B98" t="s">
        <v>49</v>
      </c>
      <c r="C98" t="s">
        <v>40</v>
      </c>
      <c r="D98" t="s">
        <v>41</v>
      </c>
      <c r="E98" t="s">
        <v>37</v>
      </c>
      <c r="F98" s="4">
        <v>-413921.73</v>
      </c>
      <c r="G98" s="4">
        <v>-404387.12</v>
      </c>
      <c r="H98" s="4">
        <v>-9534.610000000001</v>
      </c>
    </row>
    <row r="99" spans="1:8">
      <c r="A99" t="s">
        <v>53</v>
      </c>
      <c r="B99" t="s">
        <v>49</v>
      </c>
      <c r="C99" t="s">
        <v>42</v>
      </c>
      <c r="D99" t="s">
        <v>43</v>
      </c>
      <c r="E99" t="s">
        <v>37</v>
      </c>
      <c r="F99" s="4">
        <v>-96484.75</v>
      </c>
      <c r="G99" s="4">
        <v>-91811.06</v>
      </c>
      <c r="H99" s="4">
        <v>-4673.69</v>
      </c>
    </row>
    <row r="100" spans="1:8">
      <c r="A100" t="s">
        <v>53</v>
      </c>
      <c r="B100" t="s">
        <v>49</v>
      </c>
      <c r="C100" t="s">
        <v>44</v>
      </c>
      <c r="D100" t="s">
        <v>45</v>
      </c>
      <c r="E100" t="s">
        <v>37</v>
      </c>
      <c r="F100" s="4">
        <v>-75568.17999999999</v>
      </c>
      <c r="G100" s="4">
        <v>-84067.71000000001</v>
      </c>
      <c r="H100" s="4">
        <v>8499.530000000001</v>
      </c>
    </row>
    <row r="101" spans="1:8">
      <c r="A101" t="s">
        <v>53</v>
      </c>
      <c r="B101" t="s">
        <v>49</v>
      </c>
      <c r="C101" t="s">
        <v>46</v>
      </c>
      <c r="D101" t="s">
        <v>47</v>
      </c>
      <c r="E101" t="s">
        <v>48</v>
      </c>
      <c r="F101" s="4">
        <v>-56635.57</v>
      </c>
      <c r="G101" s="4">
        <v>-53211.34</v>
      </c>
      <c r="H101" s="4">
        <v>-3424.23</v>
      </c>
    </row>
    <row r="102" spans="1:8">
      <c r="A102" t="s">
        <v>53</v>
      </c>
      <c r="B102" t="s">
        <v>50</v>
      </c>
      <c r="C102" t="s">
        <v>25</v>
      </c>
      <c r="D102" t="s">
        <v>26</v>
      </c>
      <c r="E102" t="s">
        <v>27</v>
      </c>
      <c r="F102" s="4">
        <v>820880.7</v>
      </c>
      <c r="G102" s="4">
        <v>906611.6800000001</v>
      </c>
      <c r="H102" s="4">
        <v>-85730.98</v>
      </c>
    </row>
    <row r="103" spans="1:8">
      <c r="A103" t="s">
        <v>53</v>
      </c>
      <c r="B103" t="s">
        <v>50</v>
      </c>
      <c r="C103" t="s">
        <v>28</v>
      </c>
      <c r="D103" t="s">
        <v>29</v>
      </c>
      <c r="E103" t="s">
        <v>27</v>
      </c>
      <c r="F103" s="4">
        <v>420507.34</v>
      </c>
      <c r="G103" s="4">
        <v>468003.43</v>
      </c>
      <c r="H103" s="4">
        <v>-47496.09</v>
      </c>
    </row>
    <row r="104" spans="1:8">
      <c r="A104" t="s">
        <v>53</v>
      </c>
      <c r="B104" t="s">
        <v>50</v>
      </c>
      <c r="C104" t="s">
        <v>30</v>
      </c>
      <c r="D104" t="s">
        <v>31</v>
      </c>
      <c r="E104" t="s">
        <v>27</v>
      </c>
      <c r="F104" s="4">
        <v>255056.82</v>
      </c>
      <c r="G104" s="4">
        <v>281807.93</v>
      </c>
      <c r="H104" s="4">
        <v>-26751.11</v>
      </c>
    </row>
    <row r="105" spans="1:8">
      <c r="A105" t="s">
        <v>53</v>
      </c>
      <c r="B105" t="s">
        <v>50</v>
      </c>
      <c r="C105" t="s">
        <v>32</v>
      </c>
      <c r="D105" t="s">
        <v>33</v>
      </c>
      <c r="E105" t="s">
        <v>34</v>
      </c>
      <c r="F105" s="4">
        <v>-458297.9</v>
      </c>
      <c r="G105" s="4">
        <v>-511151.22</v>
      </c>
      <c r="H105" s="4">
        <v>52853.32</v>
      </c>
    </row>
    <row r="106" spans="1:8">
      <c r="A106" t="s">
        <v>53</v>
      </c>
      <c r="B106" t="s">
        <v>50</v>
      </c>
      <c r="C106" t="s">
        <v>35</v>
      </c>
      <c r="D106" t="s">
        <v>36</v>
      </c>
      <c r="E106" t="s">
        <v>37</v>
      </c>
      <c r="F106" s="4">
        <v>-148793.38</v>
      </c>
      <c r="G106" s="4">
        <v>-160091.71</v>
      </c>
      <c r="H106" s="4">
        <v>11298.33</v>
      </c>
    </row>
    <row r="107" spans="1:8">
      <c r="A107" t="s">
        <v>53</v>
      </c>
      <c r="B107" t="s">
        <v>50</v>
      </c>
      <c r="C107" t="s">
        <v>38</v>
      </c>
      <c r="D107" t="s">
        <v>39</v>
      </c>
      <c r="E107" t="s">
        <v>37</v>
      </c>
      <c r="F107" s="4">
        <v>-174318.15</v>
      </c>
      <c r="G107" s="4">
        <v>-161986.82</v>
      </c>
      <c r="H107" s="4">
        <v>-12331.33</v>
      </c>
    </row>
    <row r="108" spans="1:8">
      <c r="A108" t="s">
        <v>53</v>
      </c>
      <c r="B108" t="s">
        <v>50</v>
      </c>
      <c r="C108" t="s">
        <v>40</v>
      </c>
      <c r="D108" t="s">
        <v>41</v>
      </c>
      <c r="E108" t="s">
        <v>37</v>
      </c>
      <c r="F108" s="4">
        <v>-381307.18</v>
      </c>
      <c r="G108" s="4">
        <v>-363265.95</v>
      </c>
      <c r="H108" s="4">
        <v>-18041.23</v>
      </c>
    </row>
    <row r="109" spans="1:8">
      <c r="A109" t="s">
        <v>53</v>
      </c>
      <c r="B109" t="s">
        <v>50</v>
      </c>
      <c r="C109" t="s">
        <v>42</v>
      </c>
      <c r="D109" t="s">
        <v>43</v>
      </c>
      <c r="E109" t="s">
        <v>37</v>
      </c>
      <c r="F109" s="4">
        <v>-82338.88</v>
      </c>
      <c r="G109" s="4">
        <v>-87433.64</v>
      </c>
      <c r="H109" s="4">
        <v>5094.76</v>
      </c>
    </row>
    <row r="110" spans="1:8">
      <c r="A110" t="s">
        <v>53</v>
      </c>
      <c r="B110" t="s">
        <v>50</v>
      </c>
      <c r="C110" t="s">
        <v>44</v>
      </c>
      <c r="D110" t="s">
        <v>45</v>
      </c>
      <c r="E110" t="s">
        <v>37</v>
      </c>
      <c r="F110" s="4">
        <v>-59022.11</v>
      </c>
      <c r="G110" s="4">
        <v>-53542.74</v>
      </c>
      <c r="H110" s="4">
        <v>-5479.37</v>
      </c>
    </row>
    <row r="111" spans="1:8">
      <c r="A111" t="s">
        <v>53</v>
      </c>
      <c r="B111" t="s">
        <v>50</v>
      </c>
      <c r="C111" t="s">
        <v>46</v>
      </c>
      <c r="D111" t="s">
        <v>47</v>
      </c>
      <c r="E111" t="s">
        <v>48</v>
      </c>
      <c r="F111" s="4">
        <v>-48743</v>
      </c>
      <c r="G111" s="4">
        <v>-52114.14</v>
      </c>
      <c r="H111" s="4">
        <v>3371.14</v>
      </c>
    </row>
    <row r="112" spans="1:8">
      <c r="A112" t="s">
        <v>53</v>
      </c>
      <c r="B112" t="s">
        <v>51</v>
      </c>
      <c r="C112" t="s">
        <v>25</v>
      </c>
      <c r="D112" t="s">
        <v>26</v>
      </c>
      <c r="E112" t="s">
        <v>27</v>
      </c>
      <c r="F112" s="4">
        <v>576244.63</v>
      </c>
      <c r="G112" s="4">
        <v>608648.13</v>
      </c>
      <c r="H112" s="4">
        <v>-32403.5</v>
      </c>
    </row>
    <row r="113" spans="1:8">
      <c r="A113" t="s">
        <v>53</v>
      </c>
      <c r="B113" t="s">
        <v>51</v>
      </c>
      <c r="C113" t="s">
        <v>28</v>
      </c>
      <c r="D113" t="s">
        <v>29</v>
      </c>
      <c r="E113" t="s">
        <v>27</v>
      </c>
      <c r="F113" s="4">
        <v>290741.55</v>
      </c>
      <c r="G113" s="4">
        <v>320054.48</v>
      </c>
      <c r="H113" s="4">
        <v>-29312.93</v>
      </c>
    </row>
    <row r="114" spans="1:8">
      <c r="A114" t="s">
        <v>53</v>
      </c>
      <c r="B114" t="s">
        <v>51</v>
      </c>
      <c r="C114" t="s">
        <v>30</v>
      </c>
      <c r="D114" t="s">
        <v>31</v>
      </c>
      <c r="E114" t="s">
        <v>27</v>
      </c>
      <c r="F114" s="4">
        <v>178024.09</v>
      </c>
      <c r="G114" s="4">
        <v>163325.95</v>
      </c>
      <c r="H114" s="4">
        <v>14698.14</v>
      </c>
    </row>
    <row r="115" spans="1:8">
      <c r="A115" t="s">
        <v>53</v>
      </c>
      <c r="B115" t="s">
        <v>51</v>
      </c>
      <c r="C115" t="s">
        <v>32</v>
      </c>
      <c r="D115" t="s">
        <v>33</v>
      </c>
      <c r="E115" t="s">
        <v>34</v>
      </c>
      <c r="F115" s="4">
        <v>-296396.87</v>
      </c>
      <c r="G115" s="4">
        <v>-322446.91</v>
      </c>
      <c r="H115" s="4">
        <v>26050.04</v>
      </c>
    </row>
    <row r="116" spans="1:8">
      <c r="A116" t="s">
        <v>53</v>
      </c>
      <c r="B116" t="s">
        <v>51</v>
      </c>
      <c r="C116" t="s">
        <v>35</v>
      </c>
      <c r="D116" t="s">
        <v>36</v>
      </c>
      <c r="E116" t="s">
        <v>37</v>
      </c>
      <c r="F116" s="4">
        <v>-93904.3</v>
      </c>
      <c r="G116" s="4">
        <v>-100212.82</v>
      </c>
      <c r="H116" s="4">
        <v>6308.52</v>
      </c>
    </row>
    <row r="117" spans="1:8">
      <c r="A117" t="s">
        <v>53</v>
      </c>
      <c r="B117" t="s">
        <v>51</v>
      </c>
      <c r="C117" t="s">
        <v>38</v>
      </c>
      <c r="D117" t="s">
        <v>39</v>
      </c>
      <c r="E117" t="s">
        <v>37</v>
      </c>
      <c r="F117" s="4">
        <v>-108249.9</v>
      </c>
      <c r="G117" s="4">
        <v>-106232.34</v>
      </c>
      <c r="H117" s="4">
        <v>-2017.56</v>
      </c>
    </row>
    <row r="118" spans="1:8">
      <c r="A118" t="s">
        <v>53</v>
      </c>
      <c r="B118" t="s">
        <v>51</v>
      </c>
      <c r="C118" t="s">
        <v>40</v>
      </c>
      <c r="D118" t="s">
        <v>41</v>
      </c>
      <c r="E118" t="s">
        <v>37</v>
      </c>
      <c r="F118" s="4">
        <v>-258014.26</v>
      </c>
      <c r="G118" s="4">
        <v>-261624.88</v>
      </c>
      <c r="H118" s="4">
        <v>3610.62</v>
      </c>
    </row>
    <row r="119" spans="1:8">
      <c r="A119" t="s">
        <v>53</v>
      </c>
      <c r="B119" t="s">
        <v>51</v>
      </c>
      <c r="C119" t="s">
        <v>42</v>
      </c>
      <c r="D119" t="s">
        <v>43</v>
      </c>
      <c r="E119" t="s">
        <v>37</v>
      </c>
      <c r="F119" s="4">
        <v>-49113.1</v>
      </c>
      <c r="G119" s="4">
        <v>-48735.94</v>
      </c>
      <c r="H119" s="4">
        <v>-377.16</v>
      </c>
    </row>
    <row r="120" spans="1:8">
      <c r="A120" t="s">
        <v>53</v>
      </c>
      <c r="B120" t="s">
        <v>51</v>
      </c>
      <c r="C120" t="s">
        <v>44</v>
      </c>
      <c r="D120" t="s">
        <v>45</v>
      </c>
      <c r="E120" t="s">
        <v>37</v>
      </c>
      <c r="F120" s="4">
        <v>-43915.48</v>
      </c>
      <c r="G120" s="4">
        <v>-48314.19</v>
      </c>
      <c r="H120" s="4">
        <v>4398.71</v>
      </c>
    </row>
    <row r="121" spans="1:8">
      <c r="A121" t="s">
        <v>53</v>
      </c>
      <c r="B121" t="s">
        <v>51</v>
      </c>
      <c r="C121" t="s">
        <v>46</v>
      </c>
      <c r="D121" t="s">
        <v>47</v>
      </c>
      <c r="E121" t="s">
        <v>48</v>
      </c>
      <c r="F121" s="4">
        <v>-30267.54</v>
      </c>
      <c r="G121" s="4">
        <v>-27383.43</v>
      </c>
      <c r="H121" s="4">
        <v>-2884.11</v>
      </c>
    </row>
    <row r="122" spans="1:8">
      <c r="A122" t="s">
        <v>54</v>
      </c>
      <c r="B122" t="s">
        <v>24</v>
      </c>
      <c r="C122" t="s">
        <v>25</v>
      </c>
      <c r="D122" t="s">
        <v>26</v>
      </c>
      <c r="E122" t="s">
        <v>27</v>
      </c>
      <c r="F122" s="4">
        <v>356430.68</v>
      </c>
      <c r="G122" s="4">
        <v>394645.87</v>
      </c>
      <c r="H122" s="4">
        <v>-38215.19</v>
      </c>
    </row>
    <row r="123" spans="1:8">
      <c r="A123" t="s">
        <v>54</v>
      </c>
      <c r="B123" t="s">
        <v>24</v>
      </c>
      <c r="C123" t="s">
        <v>28</v>
      </c>
      <c r="D123" t="s">
        <v>29</v>
      </c>
      <c r="E123" t="s">
        <v>27</v>
      </c>
      <c r="F123" s="4">
        <v>186697.4</v>
      </c>
      <c r="G123" s="4">
        <v>188624.15</v>
      </c>
      <c r="H123" s="4">
        <v>-1926.75</v>
      </c>
    </row>
    <row r="124" spans="1:8">
      <c r="A124" t="s">
        <v>54</v>
      </c>
      <c r="B124" t="s">
        <v>24</v>
      </c>
      <c r="C124" t="s">
        <v>30</v>
      </c>
      <c r="D124" t="s">
        <v>31</v>
      </c>
      <c r="E124" t="s">
        <v>27</v>
      </c>
      <c r="F124" s="4">
        <v>112745.2</v>
      </c>
      <c r="G124" s="4">
        <v>117874.47</v>
      </c>
      <c r="H124" s="4">
        <v>-5129.27</v>
      </c>
    </row>
    <row r="125" spans="1:8">
      <c r="A125" t="s">
        <v>54</v>
      </c>
      <c r="B125" t="s">
        <v>24</v>
      </c>
      <c r="C125" t="s">
        <v>32</v>
      </c>
      <c r="D125" t="s">
        <v>33</v>
      </c>
      <c r="E125" t="s">
        <v>34</v>
      </c>
      <c r="F125" s="4">
        <v>-176965.49</v>
      </c>
      <c r="G125" s="4">
        <v>-191964.05</v>
      </c>
      <c r="H125" s="4">
        <v>14998.56</v>
      </c>
    </row>
    <row r="126" spans="1:8">
      <c r="A126" t="s">
        <v>54</v>
      </c>
      <c r="B126" t="s">
        <v>24</v>
      </c>
      <c r="C126" t="s">
        <v>35</v>
      </c>
      <c r="D126" t="s">
        <v>36</v>
      </c>
      <c r="E126" t="s">
        <v>37</v>
      </c>
      <c r="F126" s="4">
        <v>-57133.48</v>
      </c>
      <c r="G126" s="4">
        <v>-61762.08</v>
      </c>
      <c r="H126" s="4">
        <v>4628.6</v>
      </c>
    </row>
    <row r="127" spans="1:8">
      <c r="A127" t="s">
        <v>54</v>
      </c>
      <c r="B127" t="s">
        <v>24</v>
      </c>
      <c r="C127" t="s">
        <v>38</v>
      </c>
      <c r="D127" t="s">
        <v>39</v>
      </c>
      <c r="E127" t="s">
        <v>37</v>
      </c>
      <c r="F127" s="4">
        <v>-72838.94</v>
      </c>
      <c r="G127" s="4">
        <v>-68346.81</v>
      </c>
      <c r="H127" s="4">
        <v>-4492.13</v>
      </c>
    </row>
    <row r="128" spans="1:8">
      <c r="A128" t="s">
        <v>54</v>
      </c>
      <c r="B128" t="s">
        <v>24</v>
      </c>
      <c r="C128" t="s">
        <v>40</v>
      </c>
      <c r="D128" t="s">
        <v>41</v>
      </c>
      <c r="E128" t="s">
        <v>37</v>
      </c>
      <c r="F128" s="4">
        <v>-165511.64</v>
      </c>
      <c r="G128" s="4">
        <v>-155223.6</v>
      </c>
      <c r="H128" s="4">
        <v>-10288.04</v>
      </c>
    </row>
    <row r="129" spans="1:8">
      <c r="A129" t="s">
        <v>54</v>
      </c>
      <c r="B129" t="s">
        <v>24</v>
      </c>
      <c r="C129" t="s">
        <v>42</v>
      </c>
      <c r="D129" t="s">
        <v>43</v>
      </c>
      <c r="E129" t="s">
        <v>37</v>
      </c>
      <c r="F129" s="4">
        <v>-34460.15</v>
      </c>
      <c r="G129" s="4">
        <v>-38033.72</v>
      </c>
      <c r="H129" s="4">
        <v>3573.57</v>
      </c>
    </row>
    <row r="130" spans="1:8">
      <c r="A130" t="s">
        <v>54</v>
      </c>
      <c r="B130" t="s">
        <v>24</v>
      </c>
      <c r="C130" t="s">
        <v>44</v>
      </c>
      <c r="D130" t="s">
        <v>45</v>
      </c>
      <c r="E130" t="s">
        <v>37</v>
      </c>
      <c r="F130" s="4">
        <v>-25880.89</v>
      </c>
      <c r="G130" s="4">
        <v>-23776.27</v>
      </c>
      <c r="H130" s="4">
        <v>-2104.62</v>
      </c>
    </row>
    <row r="131" spans="1:8">
      <c r="A131" t="s">
        <v>54</v>
      </c>
      <c r="B131" t="s">
        <v>24</v>
      </c>
      <c r="C131" t="s">
        <v>46</v>
      </c>
      <c r="D131" t="s">
        <v>47</v>
      </c>
      <c r="E131" t="s">
        <v>48</v>
      </c>
      <c r="F131" s="4">
        <v>-20347.5</v>
      </c>
      <c r="G131" s="4">
        <v>-19480.17</v>
      </c>
      <c r="H131" s="4">
        <v>-867.33</v>
      </c>
    </row>
    <row r="132" spans="1:8">
      <c r="A132" t="s">
        <v>54</v>
      </c>
      <c r="B132" t="s">
        <v>49</v>
      </c>
      <c r="C132" t="s">
        <v>25</v>
      </c>
      <c r="D132" t="s">
        <v>26</v>
      </c>
      <c r="E132" t="s">
        <v>27</v>
      </c>
      <c r="F132" s="4">
        <v>1009832.75</v>
      </c>
      <c r="G132" s="4">
        <v>968510.49</v>
      </c>
      <c r="H132" s="4">
        <v>41322.26</v>
      </c>
    </row>
    <row r="133" spans="1:8">
      <c r="A133" t="s">
        <v>54</v>
      </c>
      <c r="B133" t="s">
        <v>49</v>
      </c>
      <c r="C133" t="s">
        <v>28</v>
      </c>
      <c r="D133" t="s">
        <v>29</v>
      </c>
      <c r="E133" t="s">
        <v>27</v>
      </c>
      <c r="F133" s="4">
        <v>509802.59</v>
      </c>
      <c r="G133" s="4">
        <v>557339.58</v>
      </c>
      <c r="H133" s="4">
        <v>-47536.99</v>
      </c>
    </row>
    <row r="134" spans="1:8">
      <c r="A134" t="s">
        <v>54</v>
      </c>
      <c r="B134" t="s">
        <v>49</v>
      </c>
      <c r="C134" t="s">
        <v>30</v>
      </c>
      <c r="D134" t="s">
        <v>31</v>
      </c>
      <c r="E134" t="s">
        <v>27</v>
      </c>
      <c r="F134" s="4">
        <v>307611.9</v>
      </c>
      <c r="G134" s="4">
        <v>316602.89</v>
      </c>
      <c r="H134" s="4">
        <v>-8990.99</v>
      </c>
    </row>
    <row r="135" spans="1:8">
      <c r="A135" t="s">
        <v>54</v>
      </c>
      <c r="B135" t="s">
        <v>49</v>
      </c>
      <c r="C135" t="s">
        <v>32</v>
      </c>
      <c r="D135" t="s">
        <v>33</v>
      </c>
      <c r="E135" t="s">
        <v>34</v>
      </c>
      <c r="F135" s="4">
        <v>-512304.78</v>
      </c>
      <c r="G135" s="4">
        <v>-570708.2</v>
      </c>
      <c r="H135" s="4">
        <v>58403.42</v>
      </c>
    </row>
    <row r="136" spans="1:8">
      <c r="A136" t="s">
        <v>54</v>
      </c>
      <c r="B136" t="s">
        <v>49</v>
      </c>
      <c r="C136" t="s">
        <v>35</v>
      </c>
      <c r="D136" t="s">
        <v>36</v>
      </c>
      <c r="E136" t="s">
        <v>37</v>
      </c>
      <c r="F136" s="4">
        <v>-157636.01</v>
      </c>
      <c r="G136" s="4">
        <v>-160520.87</v>
      </c>
      <c r="H136" s="4">
        <v>2884.86</v>
      </c>
    </row>
    <row r="137" spans="1:8">
      <c r="A137" t="s">
        <v>54</v>
      </c>
      <c r="B137" t="s">
        <v>49</v>
      </c>
      <c r="C137" t="s">
        <v>38</v>
      </c>
      <c r="D137" t="s">
        <v>39</v>
      </c>
      <c r="E137" t="s">
        <v>37</v>
      </c>
      <c r="F137" s="4">
        <v>-192132.08</v>
      </c>
      <c r="G137" s="4">
        <v>-175949.57</v>
      </c>
      <c r="H137" s="4">
        <v>-16182.51</v>
      </c>
    </row>
    <row r="138" spans="1:8">
      <c r="A138" t="s">
        <v>54</v>
      </c>
      <c r="B138" t="s">
        <v>49</v>
      </c>
      <c r="C138" t="s">
        <v>40</v>
      </c>
      <c r="D138" t="s">
        <v>41</v>
      </c>
      <c r="E138" t="s">
        <v>37</v>
      </c>
      <c r="F138" s="4">
        <v>-447364.2</v>
      </c>
      <c r="G138" s="4">
        <v>-426532.51</v>
      </c>
      <c r="H138" s="4">
        <v>-20831.69</v>
      </c>
    </row>
    <row r="139" spans="1:8">
      <c r="A139" t="s">
        <v>54</v>
      </c>
      <c r="B139" t="s">
        <v>49</v>
      </c>
      <c r="C139" t="s">
        <v>42</v>
      </c>
      <c r="D139" t="s">
        <v>43</v>
      </c>
      <c r="E139" t="s">
        <v>37</v>
      </c>
      <c r="F139" s="4">
        <v>-92950.7</v>
      </c>
      <c r="G139" s="4">
        <v>-84225.44</v>
      </c>
      <c r="H139" s="4">
        <v>-8725.26</v>
      </c>
    </row>
    <row r="140" spans="1:8">
      <c r="A140" t="s">
        <v>54</v>
      </c>
      <c r="B140" t="s">
        <v>49</v>
      </c>
      <c r="C140" t="s">
        <v>44</v>
      </c>
      <c r="D140" t="s">
        <v>45</v>
      </c>
      <c r="E140" t="s">
        <v>37</v>
      </c>
      <c r="F140" s="4">
        <v>-74254.10000000001</v>
      </c>
      <c r="G140" s="4">
        <v>-71137.48</v>
      </c>
      <c r="H140" s="4">
        <v>-3116.62</v>
      </c>
    </row>
    <row r="141" spans="1:8">
      <c r="A141" t="s">
        <v>54</v>
      </c>
      <c r="B141" t="s">
        <v>49</v>
      </c>
      <c r="C141" t="s">
        <v>46</v>
      </c>
      <c r="D141" t="s">
        <v>47</v>
      </c>
      <c r="E141" t="s">
        <v>48</v>
      </c>
      <c r="F141" s="4">
        <v>-56281.52</v>
      </c>
      <c r="G141" s="4">
        <v>-55656.98</v>
      </c>
      <c r="H141" s="4">
        <v>-624.54</v>
      </c>
    </row>
    <row r="142" spans="1:8">
      <c r="A142" t="s">
        <v>54</v>
      </c>
      <c r="B142" t="s">
        <v>50</v>
      </c>
      <c r="C142" t="s">
        <v>25</v>
      </c>
      <c r="D142" t="s">
        <v>26</v>
      </c>
      <c r="E142" t="s">
        <v>27</v>
      </c>
      <c r="F142" s="4">
        <v>871878.8199999999</v>
      </c>
      <c r="G142" s="4">
        <v>823343.4300000001</v>
      </c>
      <c r="H142" s="4">
        <v>48535.39</v>
      </c>
    </row>
    <row r="143" spans="1:8">
      <c r="A143" t="s">
        <v>54</v>
      </c>
      <c r="B143" t="s">
        <v>50</v>
      </c>
      <c r="C143" t="s">
        <v>28</v>
      </c>
      <c r="D143" t="s">
        <v>29</v>
      </c>
      <c r="E143" t="s">
        <v>27</v>
      </c>
      <c r="F143" s="4">
        <v>451468.52</v>
      </c>
      <c r="G143" s="4">
        <v>481923.07</v>
      </c>
      <c r="H143" s="4">
        <v>-30454.55</v>
      </c>
    </row>
    <row r="144" spans="1:8">
      <c r="A144" t="s">
        <v>54</v>
      </c>
      <c r="B144" t="s">
        <v>50</v>
      </c>
      <c r="C144" t="s">
        <v>30</v>
      </c>
      <c r="D144" t="s">
        <v>31</v>
      </c>
      <c r="E144" t="s">
        <v>27</v>
      </c>
      <c r="F144" s="4">
        <v>269727.62</v>
      </c>
      <c r="G144" s="4">
        <v>246840.26</v>
      </c>
      <c r="H144" s="4">
        <v>22887.36</v>
      </c>
    </row>
    <row r="145" spans="1:8">
      <c r="A145" t="s">
        <v>54</v>
      </c>
      <c r="B145" t="s">
        <v>50</v>
      </c>
      <c r="C145" t="s">
        <v>32</v>
      </c>
      <c r="D145" t="s">
        <v>33</v>
      </c>
      <c r="E145" t="s">
        <v>34</v>
      </c>
      <c r="F145" s="4">
        <v>-428437.32</v>
      </c>
      <c r="G145" s="4">
        <v>-436217.71</v>
      </c>
      <c r="H145" s="4">
        <v>7780.39</v>
      </c>
    </row>
    <row r="146" spans="1:8">
      <c r="A146" t="s">
        <v>54</v>
      </c>
      <c r="B146" t="s">
        <v>50</v>
      </c>
      <c r="C146" t="s">
        <v>35</v>
      </c>
      <c r="D146" t="s">
        <v>36</v>
      </c>
      <c r="E146" t="s">
        <v>37</v>
      </c>
      <c r="F146" s="4">
        <v>-133161.82</v>
      </c>
      <c r="G146" s="4">
        <v>-129561.48</v>
      </c>
      <c r="H146" s="4">
        <v>-3600.34</v>
      </c>
    </row>
    <row r="147" spans="1:8">
      <c r="A147" t="s">
        <v>54</v>
      </c>
      <c r="B147" t="s">
        <v>50</v>
      </c>
      <c r="C147" t="s">
        <v>38</v>
      </c>
      <c r="D147" t="s">
        <v>39</v>
      </c>
      <c r="E147" t="s">
        <v>37</v>
      </c>
      <c r="F147" s="4">
        <v>-170555.15</v>
      </c>
      <c r="G147" s="4">
        <v>-181303.9</v>
      </c>
      <c r="H147" s="4">
        <v>10748.75</v>
      </c>
    </row>
    <row r="148" spans="1:8">
      <c r="A148" t="s">
        <v>54</v>
      </c>
      <c r="B148" t="s">
        <v>50</v>
      </c>
      <c r="C148" t="s">
        <v>40</v>
      </c>
      <c r="D148" t="s">
        <v>41</v>
      </c>
      <c r="E148" t="s">
        <v>37</v>
      </c>
      <c r="F148" s="4">
        <v>-358447.77</v>
      </c>
      <c r="G148" s="4">
        <v>-334554.13</v>
      </c>
      <c r="H148" s="4">
        <v>-23893.64</v>
      </c>
    </row>
    <row r="149" spans="1:8">
      <c r="A149" t="s">
        <v>54</v>
      </c>
      <c r="B149" t="s">
        <v>50</v>
      </c>
      <c r="C149" t="s">
        <v>42</v>
      </c>
      <c r="D149" t="s">
        <v>43</v>
      </c>
      <c r="E149" t="s">
        <v>37</v>
      </c>
      <c r="F149" s="4">
        <v>-82686.7</v>
      </c>
      <c r="G149" s="4">
        <v>-77830.58</v>
      </c>
      <c r="H149" s="4">
        <v>-4856.12</v>
      </c>
    </row>
    <row r="150" spans="1:8">
      <c r="A150" t="s">
        <v>54</v>
      </c>
      <c r="B150" t="s">
        <v>50</v>
      </c>
      <c r="C150" t="s">
        <v>44</v>
      </c>
      <c r="D150" t="s">
        <v>45</v>
      </c>
      <c r="E150" t="s">
        <v>37</v>
      </c>
      <c r="F150" s="4">
        <v>-60145.44</v>
      </c>
      <c r="G150" s="4">
        <v>-56414.31</v>
      </c>
      <c r="H150" s="4">
        <v>-3731.13</v>
      </c>
    </row>
    <row r="151" spans="1:8">
      <c r="A151" t="s">
        <v>54</v>
      </c>
      <c r="B151" t="s">
        <v>50</v>
      </c>
      <c r="C151" t="s">
        <v>46</v>
      </c>
      <c r="D151" t="s">
        <v>47</v>
      </c>
      <c r="E151" t="s">
        <v>48</v>
      </c>
      <c r="F151" s="4">
        <v>-45674.52</v>
      </c>
      <c r="G151" s="4">
        <v>-50821.39</v>
      </c>
      <c r="H151" s="4">
        <v>5146.87</v>
      </c>
    </row>
    <row r="152" spans="1:8">
      <c r="A152" t="s">
        <v>54</v>
      </c>
      <c r="B152" t="s">
        <v>51</v>
      </c>
      <c r="C152" t="s">
        <v>25</v>
      </c>
      <c r="D152" t="s">
        <v>26</v>
      </c>
      <c r="E152" t="s">
        <v>27</v>
      </c>
      <c r="F152" s="4">
        <v>595647.39</v>
      </c>
      <c r="G152" s="4">
        <v>619959.12</v>
      </c>
      <c r="H152" s="4">
        <v>-24311.73</v>
      </c>
    </row>
    <row r="153" spans="1:8">
      <c r="A153" t="s">
        <v>54</v>
      </c>
      <c r="B153" t="s">
        <v>51</v>
      </c>
      <c r="C153" t="s">
        <v>28</v>
      </c>
      <c r="D153" t="s">
        <v>29</v>
      </c>
      <c r="E153" t="s">
        <v>27</v>
      </c>
      <c r="F153" s="4">
        <v>304673</v>
      </c>
      <c r="G153" s="4">
        <v>281021.3</v>
      </c>
      <c r="H153" s="4">
        <v>23651.7</v>
      </c>
    </row>
    <row r="154" spans="1:8">
      <c r="A154" t="s">
        <v>54</v>
      </c>
      <c r="B154" t="s">
        <v>51</v>
      </c>
      <c r="C154" t="s">
        <v>30</v>
      </c>
      <c r="D154" t="s">
        <v>31</v>
      </c>
      <c r="E154" t="s">
        <v>27</v>
      </c>
      <c r="F154" s="4">
        <v>187049.33</v>
      </c>
      <c r="G154" s="4">
        <v>194841.75</v>
      </c>
      <c r="H154" s="4">
        <v>-7792.42</v>
      </c>
    </row>
    <row r="155" spans="1:8">
      <c r="A155" t="s">
        <v>54</v>
      </c>
      <c r="B155" t="s">
        <v>51</v>
      </c>
      <c r="C155" t="s">
        <v>32</v>
      </c>
      <c r="D155" t="s">
        <v>33</v>
      </c>
      <c r="E155" t="s">
        <v>34</v>
      </c>
      <c r="F155" s="4">
        <v>-311720.57</v>
      </c>
      <c r="G155" s="4">
        <v>-348642.08</v>
      </c>
      <c r="H155" s="4">
        <v>36921.51</v>
      </c>
    </row>
    <row r="156" spans="1:8">
      <c r="A156" t="s">
        <v>54</v>
      </c>
      <c r="B156" t="s">
        <v>51</v>
      </c>
      <c r="C156" t="s">
        <v>35</v>
      </c>
      <c r="D156" t="s">
        <v>36</v>
      </c>
      <c r="E156" t="s">
        <v>37</v>
      </c>
      <c r="F156" s="4">
        <v>-94698.91</v>
      </c>
      <c r="G156" s="4">
        <v>-89131.53999999999</v>
      </c>
      <c r="H156" s="4">
        <v>-5567.37</v>
      </c>
    </row>
    <row r="157" spans="1:8">
      <c r="A157" t="s">
        <v>54</v>
      </c>
      <c r="B157" t="s">
        <v>51</v>
      </c>
      <c r="C157" t="s">
        <v>38</v>
      </c>
      <c r="D157" t="s">
        <v>39</v>
      </c>
      <c r="E157" t="s">
        <v>37</v>
      </c>
      <c r="F157" s="4">
        <v>-117053.88</v>
      </c>
      <c r="G157" s="4">
        <v>-122721.06</v>
      </c>
      <c r="H157" s="4">
        <v>5667.18</v>
      </c>
    </row>
    <row r="158" spans="1:8">
      <c r="A158" t="s">
        <v>54</v>
      </c>
      <c r="B158" t="s">
        <v>51</v>
      </c>
      <c r="C158" t="s">
        <v>40</v>
      </c>
      <c r="D158" t="s">
        <v>41</v>
      </c>
      <c r="E158" t="s">
        <v>37</v>
      </c>
      <c r="F158" s="4">
        <v>-278095.31</v>
      </c>
      <c r="G158" s="4">
        <v>-277858.38</v>
      </c>
      <c r="H158" s="4">
        <v>-236.93</v>
      </c>
    </row>
    <row r="159" spans="1:8">
      <c r="A159" t="s">
        <v>54</v>
      </c>
      <c r="B159" t="s">
        <v>51</v>
      </c>
      <c r="C159" t="s">
        <v>42</v>
      </c>
      <c r="D159" t="s">
        <v>43</v>
      </c>
      <c r="E159" t="s">
        <v>37</v>
      </c>
      <c r="F159" s="4">
        <v>-53645.08</v>
      </c>
      <c r="G159" s="4">
        <v>-48304.97</v>
      </c>
      <c r="H159" s="4">
        <v>-5340.11</v>
      </c>
    </row>
    <row r="160" spans="1:8">
      <c r="A160" t="s">
        <v>54</v>
      </c>
      <c r="B160" t="s">
        <v>51</v>
      </c>
      <c r="C160" t="s">
        <v>44</v>
      </c>
      <c r="D160" t="s">
        <v>45</v>
      </c>
      <c r="E160" t="s">
        <v>37</v>
      </c>
      <c r="F160" s="4">
        <v>-45184.03</v>
      </c>
      <c r="G160" s="4">
        <v>-45416.45</v>
      </c>
      <c r="H160" s="4">
        <v>232.42</v>
      </c>
    </row>
    <row r="161" spans="1:8">
      <c r="A161" t="s">
        <v>54</v>
      </c>
      <c r="B161" t="s">
        <v>51</v>
      </c>
      <c r="C161" t="s">
        <v>46</v>
      </c>
      <c r="D161" t="s">
        <v>47</v>
      </c>
      <c r="E161" t="s">
        <v>48</v>
      </c>
      <c r="F161" s="4">
        <v>-31527.08</v>
      </c>
      <c r="G161" s="4">
        <v>-34814.46</v>
      </c>
      <c r="H161" s="4">
        <v>3287.38</v>
      </c>
    </row>
    <row r="162" spans="1:8">
      <c r="A162" t="s">
        <v>55</v>
      </c>
      <c r="B162" t="s">
        <v>24</v>
      </c>
      <c r="C162" t="s">
        <v>25</v>
      </c>
      <c r="D162" t="s">
        <v>26</v>
      </c>
      <c r="E162" t="s">
        <v>27</v>
      </c>
      <c r="F162" s="4">
        <v>397822.43</v>
      </c>
      <c r="G162" s="4">
        <v>443566.78</v>
      </c>
      <c r="H162" s="4">
        <v>-45744.35</v>
      </c>
    </row>
    <row r="163" spans="1:8">
      <c r="A163" t="s">
        <v>55</v>
      </c>
      <c r="B163" t="s">
        <v>24</v>
      </c>
      <c r="C163" t="s">
        <v>28</v>
      </c>
      <c r="D163" t="s">
        <v>29</v>
      </c>
      <c r="E163" t="s">
        <v>27</v>
      </c>
      <c r="F163" s="4">
        <v>202568.97</v>
      </c>
      <c r="G163" s="4">
        <v>213006.77</v>
      </c>
      <c r="H163" s="4">
        <v>-10437.8</v>
      </c>
    </row>
    <row r="164" spans="1:8">
      <c r="A164" t="s">
        <v>55</v>
      </c>
      <c r="B164" t="s">
        <v>24</v>
      </c>
      <c r="C164" t="s">
        <v>30</v>
      </c>
      <c r="D164" t="s">
        <v>31</v>
      </c>
      <c r="E164" t="s">
        <v>27</v>
      </c>
      <c r="F164" s="4">
        <v>121703.78</v>
      </c>
      <c r="G164" s="4">
        <v>110315.74</v>
      </c>
      <c r="H164" s="4">
        <v>11388.04</v>
      </c>
    </row>
    <row r="165" spans="1:8">
      <c r="A165" t="s">
        <v>55</v>
      </c>
      <c r="B165" t="s">
        <v>24</v>
      </c>
      <c r="C165" t="s">
        <v>32</v>
      </c>
      <c r="D165" t="s">
        <v>33</v>
      </c>
      <c r="E165" t="s">
        <v>34</v>
      </c>
      <c r="F165" s="4">
        <v>-204289.68</v>
      </c>
      <c r="G165" s="4">
        <v>-213519.74</v>
      </c>
      <c r="H165" s="4">
        <v>9230.059999999999</v>
      </c>
    </row>
    <row r="166" spans="1:8">
      <c r="A166" t="s">
        <v>55</v>
      </c>
      <c r="B166" t="s">
        <v>24</v>
      </c>
      <c r="C166" t="s">
        <v>35</v>
      </c>
      <c r="D166" t="s">
        <v>36</v>
      </c>
      <c r="E166" t="s">
        <v>37</v>
      </c>
      <c r="F166" s="4">
        <v>-67579.49000000001</v>
      </c>
      <c r="G166" s="4">
        <v>-64360.97</v>
      </c>
      <c r="H166" s="4">
        <v>-3218.52</v>
      </c>
    </row>
    <row r="167" spans="1:8">
      <c r="A167" t="s">
        <v>55</v>
      </c>
      <c r="B167" t="s">
        <v>24</v>
      </c>
      <c r="C167" t="s">
        <v>38</v>
      </c>
      <c r="D167" t="s">
        <v>39</v>
      </c>
      <c r="E167" t="s">
        <v>37</v>
      </c>
      <c r="F167" s="4">
        <v>-80331.99000000001</v>
      </c>
      <c r="G167" s="4">
        <v>-77023.23</v>
      </c>
      <c r="H167" s="4">
        <v>-3308.76</v>
      </c>
    </row>
    <row r="168" spans="1:8">
      <c r="A168" t="s">
        <v>55</v>
      </c>
      <c r="B168" t="s">
        <v>24</v>
      </c>
      <c r="C168" t="s">
        <v>40</v>
      </c>
      <c r="D168" t="s">
        <v>41</v>
      </c>
      <c r="E168" t="s">
        <v>37</v>
      </c>
      <c r="F168" s="4">
        <v>-158550.22</v>
      </c>
      <c r="G168" s="4">
        <v>-145215.11</v>
      </c>
      <c r="H168" s="4">
        <v>-13335.11</v>
      </c>
    </row>
    <row r="169" spans="1:8">
      <c r="A169" t="s">
        <v>55</v>
      </c>
      <c r="B169" t="s">
        <v>24</v>
      </c>
      <c r="C169" t="s">
        <v>42</v>
      </c>
      <c r="D169" t="s">
        <v>43</v>
      </c>
      <c r="E169" t="s">
        <v>37</v>
      </c>
      <c r="F169" s="4">
        <v>-33354.14</v>
      </c>
      <c r="G169" s="4">
        <v>-35840.96</v>
      </c>
      <c r="H169" s="4">
        <v>2486.82</v>
      </c>
    </row>
    <row r="170" spans="1:8">
      <c r="A170" t="s">
        <v>55</v>
      </c>
      <c r="B170" t="s">
        <v>24</v>
      </c>
      <c r="C170" t="s">
        <v>44</v>
      </c>
      <c r="D170" t="s">
        <v>45</v>
      </c>
      <c r="E170" t="s">
        <v>37</v>
      </c>
      <c r="F170" s="4">
        <v>-28959.63</v>
      </c>
      <c r="G170" s="4">
        <v>-29789.99</v>
      </c>
      <c r="H170" s="4">
        <v>830.36</v>
      </c>
    </row>
    <row r="171" spans="1:8">
      <c r="A171" t="s">
        <v>55</v>
      </c>
      <c r="B171" t="s">
        <v>24</v>
      </c>
      <c r="C171" t="s">
        <v>46</v>
      </c>
      <c r="D171" t="s">
        <v>47</v>
      </c>
      <c r="E171" t="s">
        <v>48</v>
      </c>
      <c r="F171" s="4">
        <v>-21209.67</v>
      </c>
      <c r="G171" s="4">
        <v>-21763.44</v>
      </c>
      <c r="H171" s="4">
        <v>553.77</v>
      </c>
    </row>
    <row r="172" spans="1:8">
      <c r="A172" t="s">
        <v>55</v>
      </c>
      <c r="B172" t="s">
        <v>49</v>
      </c>
      <c r="C172" t="s">
        <v>25</v>
      </c>
      <c r="D172" t="s">
        <v>26</v>
      </c>
      <c r="E172" t="s">
        <v>27</v>
      </c>
      <c r="F172" s="4">
        <v>1036328.39</v>
      </c>
      <c r="G172" s="4">
        <v>1078326.71</v>
      </c>
      <c r="H172" s="4">
        <v>-41998.32</v>
      </c>
    </row>
    <row r="173" spans="1:8">
      <c r="A173" t="s">
        <v>55</v>
      </c>
      <c r="B173" t="s">
        <v>49</v>
      </c>
      <c r="C173" t="s">
        <v>28</v>
      </c>
      <c r="D173" t="s">
        <v>29</v>
      </c>
      <c r="E173" t="s">
        <v>27</v>
      </c>
      <c r="F173" s="4">
        <v>556445.33</v>
      </c>
      <c r="G173" s="4">
        <v>607217.76</v>
      </c>
      <c r="H173" s="4">
        <v>-50772.43</v>
      </c>
    </row>
    <row r="174" spans="1:8">
      <c r="A174" t="s">
        <v>55</v>
      </c>
      <c r="B174" t="s">
        <v>49</v>
      </c>
      <c r="C174" t="s">
        <v>30</v>
      </c>
      <c r="D174" t="s">
        <v>31</v>
      </c>
      <c r="E174" t="s">
        <v>27</v>
      </c>
      <c r="F174" s="4">
        <v>339167.08</v>
      </c>
      <c r="G174" s="4">
        <v>347794.07</v>
      </c>
      <c r="H174" s="4">
        <v>-8626.99</v>
      </c>
    </row>
    <row r="175" spans="1:8">
      <c r="A175" t="s">
        <v>55</v>
      </c>
      <c r="B175" t="s">
        <v>49</v>
      </c>
      <c r="C175" t="s">
        <v>32</v>
      </c>
      <c r="D175" t="s">
        <v>33</v>
      </c>
      <c r="E175" t="s">
        <v>34</v>
      </c>
      <c r="F175" s="4">
        <v>-571567.24</v>
      </c>
      <c r="G175" s="4">
        <v>-537907.14</v>
      </c>
      <c r="H175" s="4">
        <v>-33660.1</v>
      </c>
    </row>
    <row r="176" spans="1:8">
      <c r="A176" t="s">
        <v>55</v>
      </c>
      <c r="B176" t="s">
        <v>49</v>
      </c>
      <c r="C176" t="s">
        <v>35</v>
      </c>
      <c r="D176" t="s">
        <v>36</v>
      </c>
      <c r="E176" t="s">
        <v>37</v>
      </c>
      <c r="F176" s="4">
        <v>-186176.11</v>
      </c>
      <c r="G176" s="4">
        <v>-175038.71</v>
      </c>
      <c r="H176" s="4">
        <v>-11137.4</v>
      </c>
    </row>
    <row r="177" spans="1:8">
      <c r="A177" t="s">
        <v>55</v>
      </c>
      <c r="B177" t="s">
        <v>49</v>
      </c>
      <c r="C177" t="s">
        <v>38</v>
      </c>
      <c r="D177" t="s">
        <v>39</v>
      </c>
      <c r="E177" t="s">
        <v>37</v>
      </c>
      <c r="F177" s="4">
        <v>-230199.24</v>
      </c>
      <c r="G177" s="4">
        <v>-254874.31</v>
      </c>
      <c r="H177" s="4">
        <v>24675.07</v>
      </c>
    </row>
    <row r="178" spans="1:8">
      <c r="A178" t="s">
        <v>55</v>
      </c>
      <c r="B178" t="s">
        <v>49</v>
      </c>
      <c r="C178" t="s">
        <v>40</v>
      </c>
      <c r="D178" t="s">
        <v>41</v>
      </c>
      <c r="E178" t="s">
        <v>37</v>
      </c>
      <c r="F178" s="4">
        <v>-459100.06</v>
      </c>
      <c r="G178" s="4">
        <v>-499253.05</v>
      </c>
      <c r="H178" s="4">
        <v>40152.99</v>
      </c>
    </row>
    <row r="179" spans="1:8">
      <c r="A179" t="s">
        <v>55</v>
      </c>
      <c r="B179" t="s">
        <v>49</v>
      </c>
      <c r="C179" t="s">
        <v>42</v>
      </c>
      <c r="D179" t="s">
        <v>43</v>
      </c>
      <c r="E179" t="s">
        <v>37</v>
      </c>
      <c r="F179" s="4">
        <v>-98352.38</v>
      </c>
      <c r="G179" s="4">
        <v>-93842.03</v>
      </c>
      <c r="H179" s="4">
        <v>-4510.35</v>
      </c>
    </row>
    <row r="180" spans="1:8">
      <c r="A180" t="s">
        <v>55</v>
      </c>
      <c r="B180" t="s">
        <v>49</v>
      </c>
      <c r="C180" t="s">
        <v>44</v>
      </c>
      <c r="D180" t="s">
        <v>45</v>
      </c>
      <c r="E180" t="s">
        <v>37</v>
      </c>
      <c r="F180" s="4">
        <v>-80499.03</v>
      </c>
      <c r="G180" s="4">
        <v>-89801.00999999999</v>
      </c>
      <c r="H180" s="4">
        <v>9301.98</v>
      </c>
    </row>
    <row r="181" spans="1:8">
      <c r="A181" t="s">
        <v>55</v>
      </c>
      <c r="B181" t="s">
        <v>49</v>
      </c>
      <c r="C181" t="s">
        <v>46</v>
      </c>
      <c r="D181" t="s">
        <v>47</v>
      </c>
      <c r="E181" t="s">
        <v>48</v>
      </c>
      <c r="F181" s="4">
        <v>-57849.78</v>
      </c>
      <c r="G181" s="4">
        <v>-54822.35</v>
      </c>
      <c r="H181" s="4">
        <v>-3027.43</v>
      </c>
    </row>
    <row r="182" spans="1:8">
      <c r="A182" t="s">
        <v>55</v>
      </c>
      <c r="B182" t="s">
        <v>50</v>
      </c>
      <c r="C182" t="s">
        <v>25</v>
      </c>
      <c r="D182" t="s">
        <v>26</v>
      </c>
      <c r="E182" t="s">
        <v>27</v>
      </c>
      <c r="F182" s="4">
        <v>849294.99</v>
      </c>
      <c r="G182" s="4">
        <v>878643.6800000001</v>
      </c>
      <c r="H182" s="4">
        <v>-29348.69</v>
      </c>
    </row>
    <row r="183" spans="1:8">
      <c r="A183" t="s">
        <v>55</v>
      </c>
      <c r="B183" t="s">
        <v>50</v>
      </c>
      <c r="C183" t="s">
        <v>28</v>
      </c>
      <c r="D183" t="s">
        <v>29</v>
      </c>
      <c r="E183" t="s">
        <v>27</v>
      </c>
      <c r="F183" s="4">
        <v>427382.19</v>
      </c>
      <c r="G183" s="4">
        <v>478168.91</v>
      </c>
      <c r="H183" s="4">
        <v>-50786.72</v>
      </c>
    </row>
    <row r="184" spans="1:8">
      <c r="A184" t="s">
        <v>55</v>
      </c>
      <c r="B184" t="s">
        <v>50</v>
      </c>
      <c r="C184" t="s">
        <v>30</v>
      </c>
      <c r="D184" t="s">
        <v>31</v>
      </c>
      <c r="E184" t="s">
        <v>27</v>
      </c>
      <c r="F184" s="4">
        <v>259690.05</v>
      </c>
      <c r="G184" s="4">
        <v>254153.66</v>
      </c>
      <c r="H184" s="4">
        <v>5536.39</v>
      </c>
    </row>
    <row r="185" spans="1:8">
      <c r="A185" t="s">
        <v>55</v>
      </c>
      <c r="B185" t="s">
        <v>50</v>
      </c>
      <c r="C185" t="s">
        <v>32</v>
      </c>
      <c r="D185" t="s">
        <v>33</v>
      </c>
      <c r="E185" t="s">
        <v>34</v>
      </c>
      <c r="F185" s="4">
        <v>-427528.06</v>
      </c>
      <c r="G185" s="4">
        <v>-476796.11</v>
      </c>
      <c r="H185" s="4">
        <v>49268.05</v>
      </c>
    </row>
    <row r="186" spans="1:8">
      <c r="A186" t="s">
        <v>55</v>
      </c>
      <c r="B186" t="s">
        <v>50</v>
      </c>
      <c r="C186" t="s">
        <v>35</v>
      </c>
      <c r="D186" t="s">
        <v>36</v>
      </c>
      <c r="E186" t="s">
        <v>37</v>
      </c>
      <c r="F186" s="4">
        <v>-147470.19</v>
      </c>
      <c r="G186" s="4">
        <v>-158321.99</v>
      </c>
      <c r="H186" s="4">
        <v>10851.8</v>
      </c>
    </row>
    <row r="187" spans="1:8">
      <c r="A187" t="s">
        <v>55</v>
      </c>
      <c r="B187" t="s">
        <v>50</v>
      </c>
      <c r="C187" t="s">
        <v>38</v>
      </c>
      <c r="D187" t="s">
        <v>39</v>
      </c>
      <c r="E187" t="s">
        <v>37</v>
      </c>
      <c r="F187" s="4">
        <v>-157481.48</v>
      </c>
      <c r="G187" s="4">
        <v>-171533.22</v>
      </c>
      <c r="H187" s="4">
        <v>14051.74</v>
      </c>
    </row>
    <row r="188" spans="1:8">
      <c r="A188" t="s">
        <v>55</v>
      </c>
      <c r="B188" t="s">
        <v>50</v>
      </c>
      <c r="C188" t="s">
        <v>40</v>
      </c>
      <c r="D188" t="s">
        <v>41</v>
      </c>
      <c r="E188" t="s">
        <v>37</v>
      </c>
      <c r="F188" s="4">
        <v>-347707.75</v>
      </c>
      <c r="G188" s="4">
        <v>-387591.46</v>
      </c>
      <c r="H188" s="4">
        <v>39883.71</v>
      </c>
    </row>
    <row r="189" spans="1:8">
      <c r="A189" t="s">
        <v>55</v>
      </c>
      <c r="B189" t="s">
        <v>50</v>
      </c>
      <c r="C189" t="s">
        <v>42</v>
      </c>
      <c r="D189" t="s">
        <v>43</v>
      </c>
      <c r="E189" t="s">
        <v>37</v>
      </c>
      <c r="F189" s="4">
        <v>-76616.57000000001</v>
      </c>
      <c r="G189" s="4">
        <v>-85271.37</v>
      </c>
      <c r="H189" s="4">
        <v>8654.799999999999</v>
      </c>
    </row>
    <row r="190" spans="1:8">
      <c r="A190" t="s">
        <v>55</v>
      </c>
      <c r="B190" t="s">
        <v>50</v>
      </c>
      <c r="C190" t="s">
        <v>44</v>
      </c>
      <c r="D190" t="s">
        <v>45</v>
      </c>
      <c r="E190" t="s">
        <v>37</v>
      </c>
      <c r="F190" s="4">
        <v>-58792.94</v>
      </c>
      <c r="G190" s="4">
        <v>-60455.66</v>
      </c>
      <c r="H190" s="4">
        <v>1662.72</v>
      </c>
    </row>
    <row r="191" spans="1:8">
      <c r="A191" t="s">
        <v>55</v>
      </c>
      <c r="B191" t="s">
        <v>50</v>
      </c>
      <c r="C191" t="s">
        <v>46</v>
      </c>
      <c r="D191" t="s">
        <v>47</v>
      </c>
      <c r="E191" t="s">
        <v>48</v>
      </c>
      <c r="F191" s="4">
        <v>-42934.84</v>
      </c>
      <c r="G191" s="4">
        <v>-42075.39</v>
      </c>
      <c r="H191" s="4">
        <v>-859.45</v>
      </c>
    </row>
    <row r="192" spans="1:8">
      <c r="A192" t="s">
        <v>55</v>
      </c>
      <c r="B192" t="s">
        <v>51</v>
      </c>
      <c r="C192" t="s">
        <v>25</v>
      </c>
      <c r="D192" t="s">
        <v>26</v>
      </c>
      <c r="E192" t="s">
        <v>27</v>
      </c>
      <c r="F192" s="4">
        <v>574553.42</v>
      </c>
      <c r="G192" s="4">
        <v>554324.36</v>
      </c>
      <c r="H192" s="4">
        <v>20229.06</v>
      </c>
    </row>
    <row r="193" spans="1:8">
      <c r="A193" t="s">
        <v>55</v>
      </c>
      <c r="B193" t="s">
        <v>51</v>
      </c>
      <c r="C193" t="s">
        <v>28</v>
      </c>
      <c r="D193" t="s">
        <v>29</v>
      </c>
      <c r="E193" t="s">
        <v>27</v>
      </c>
      <c r="F193" s="4">
        <v>287185.67</v>
      </c>
      <c r="G193" s="4">
        <v>262602.33</v>
      </c>
      <c r="H193" s="4">
        <v>24583.34</v>
      </c>
    </row>
    <row r="194" spans="1:8">
      <c r="A194" t="s">
        <v>55</v>
      </c>
      <c r="B194" t="s">
        <v>51</v>
      </c>
      <c r="C194" t="s">
        <v>30</v>
      </c>
      <c r="D194" t="s">
        <v>31</v>
      </c>
      <c r="E194" t="s">
        <v>27</v>
      </c>
      <c r="F194" s="4">
        <v>176953.51</v>
      </c>
      <c r="G194" s="4">
        <v>191172.37</v>
      </c>
      <c r="H194" s="4">
        <v>-14218.86</v>
      </c>
    </row>
    <row r="195" spans="1:8">
      <c r="A195" t="s">
        <v>55</v>
      </c>
      <c r="B195" t="s">
        <v>51</v>
      </c>
      <c r="C195" t="s">
        <v>32</v>
      </c>
      <c r="D195" t="s">
        <v>33</v>
      </c>
      <c r="E195" t="s">
        <v>34</v>
      </c>
      <c r="F195" s="4">
        <v>-300838.67</v>
      </c>
      <c r="G195" s="4">
        <v>-286881.41</v>
      </c>
      <c r="H195" s="4">
        <v>-13957.26</v>
      </c>
    </row>
    <row r="196" spans="1:8">
      <c r="A196" t="s">
        <v>55</v>
      </c>
      <c r="B196" t="s">
        <v>51</v>
      </c>
      <c r="C196" t="s">
        <v>35</v>
      </c>
      <c r="D196" t="s">
        <v>36</v>
      </c>
      <c r="E196" t="s">
        <v>37</v>
      </c>
      <c r="F196" s="4">
        <v>-90431.32000000001</v>
      </c>
      <c r="G196" s="4">
        <v>-81906.37</v>
      </c>
      <c r="H196" s="4">
        <v>-8524.950000000001</v>
      </c>
    </row>
    <row r="197" spans="1:8">
      <c r="A197" t="s">
        <v>55</v>
      </c>
      <c r="B197" t="s">
        <v>51</v>
      </c>
      <c r="C197" t="s">
        <v>38</v>
      </c>
      <c r="D197" t="s">
        <v>39</v>
      </c>
      <c r="E197" t="s">
        <v>37</v>
      </c>
      <c r="F197" s="4">
        <v>-117657.46</v>
      </c>
      <c r="G197" s="4">
        <v>-130493.7</v>
      </c>
      <c r="H197" s="4">
        <v>12836.24</v>
      </c>
    </row>
    <row r="198" spans="1:8">
      <c r="A198" t="s">
        <v>55</v>
      </c>
      <c r="B198" t="s">
        <v>51</v>
      </c>
      <c r="C198" t="s">
        <v>40</v>
      </c>
      <c r="D198" t="s">
        <v>41</v>
      </c>
      <c r="E198" t="s">
        <v>37</v>
      </c>
      <c r="F198" s="4">
        <v>-244655.77</v>
      </c>
      <c r="G198" s="4">
        <v>-272261.34</v>
      </c>
      <c r="H198" s="4">
        <v>27605.57</v>
      </c>
    </row>
    <row r="199" spans="1:8">
      <c r="A199" t="s">
        <v>55</v>
      </c>
      <c r="B199" t="s">
        <v>51</v>
      </c>
      <c r="C199" t="s">
        <v>42</v>
      </c>
      <c r="D199" t="s">
        <v>43</v>
      </c>
      <c r="E199" t="s">
        <v>37</v>
      </c>
      <c r="F199" s="4">
        <v>-53569.67</v>
      </c>
      <c r="G199" s="4">
        <v>-53799.87</v>
      </c>
      <c r="H199" s="4">
        <v>230.2</v>
      </c>
    </row>
    <row r="200" spans="1:8">
      <c r="A200" t="s">
        <v>55</v>
      </c>
      <c r="B200" t="s">
        <v>51</v>
      </c>
      <c r="C200" t="s">
        <v>44</v>
      </c>
      <c r="D200" t="s">
        <v>45</v>
      </c>
      <c r="E200" t="s">
        <v>37</v>
      </c>
      <c r="F200" s="4">
        <v>-40751.33</v>
      </c>
      <c r="G200" s="4">
        <v>-40062.5</v>
      </c>
      <c r="H200" s="4">
        <v>-688.83</v>
      </c>
    </row>
    <row r="201" spans="1:8">
      <c r="A201" t="s">
        <v>55</v>
      </c>
      <c r="B201" t="s">
        <v>51</v>
      </c>
      <c r="C201" t="s">
        <v>46</v>
      </c>
      <c r="D201" t="s">
        <v>47</v>
      </c>
      <c r="E201" t="s">
        <v>48</v>
      </c>
      <c r="F201" s="4">
        <v>-32148.74</v>
      </c>
      <c r="G201" s="4">
        <v>-33753.03</v>
      </c>
      <c r="H201" s="4">
        <v>1604.29</v>
      </c>
    </row>
    <row r="202" spans="1:8">
      <c r="A202" t="s">
        <v>56</v>
      </c>
      <c r="B202" t="s">
        <v>24</v>
      </c>
      <c r="C202" t="s">
        <v>25</v>
      </c>
      <c r="D202" t="s">
        <v>26</v>
      </c>
      <c r="E202" t="s">
        <v>27</v>
      </c>
      <c r="F202" s="4">
        <v>378122.61</v>
      </c>
      <c r="G202" s="4">
        <v>378417.04</v>
      </c>
      <c r="H202" s="4">
        <v>-294.43</v>
      </c>
    </row>
    <row r="203" spans="1:8">
      <c r="A203" t="s">
        <v>56</v>
      </c>
      <c r="B203" t="s">
        <v>24</v>
      </c>
      <c r="C203" t="s">
        <v>28</v>
      </c>
      <c r="D203" t="s">
        <v>29</v>
      </c>
      <c r="E203" t="s">
        <v>27</v>
      </c>
      <c r="F203" s="4">
        <v>189150.08</v>
      </c>
      <c r="G203" s="4">
        <v>188569.8</v>
      </c>
      <c r="H203" s="4">
        <v>580.28</v>
      </c>
    </row>
    <row r="204" spans="1:8">
      <c r="A204" t="s">
        <v>56</v>
      </c>
      <c r="B204" t="s">
        <v>24</v>
      </c>
      <c r="C204" t="s">
        <v>30</v>
      </c>
      <c r="D204" t="s">
        <v>31</v>
      </c>
      <c r="E204" t="s">
        <v>27</v>
      </c>
      <c r="F204" s="4">
        <v>114313.04</v>
      </c>
      <c r="G204" s="4">
        <v>107624.42</v>
      </c>
      <c r="H204" s="4">
        <v>6688.62</v>
      </c>
    </row>
    <row r="205" spans="1:8">
      <c r="A205" t="s">
        <v>56</v>
      </c>
      <c r="B205" t="s">
        <v>24</v>
      </c>
      <c r="C205" t="s">
        <v>32</v>
      </c>
      <c r="D205" t="s">
        <v>33</v>
      </c>
      <c r="E205" t="s">
        <v>34</v>
      </c>
      <c r="F205" s="4">
        <v>-187051.04</v>
      </c>
      <c r="G205" s="4">
        <v>-192812.97</v>
      </c>
      <c r="H205" s="4">
        <v>5761.93</v>
      </c>
    </row>
    <row r="206" spans="1:8">
      <c r="A206" t="s">
        <v>56</v>
      </c>
      <c r="B206" t="s">
        <v>24</v>
      </c>
      <c r="C206" t="s">
        <v>35</v>
      </c>
      <c r="D206" t="s">
        <v>36</v>
      </c>
      <c r="E206" t="s">
        <v>37</v>
      </c>
      <c r="F206" s="4">
        <v>-58085.63</v>
      </c>
      <c r="G206" s="4">
        <v>-55144.08</v>
      </c>
      <c r="H206" s="4">
        <v>-2941.55</v>
      </c>
    </row>
    <row r="207" spans="1:8">
      <c r="A207" t="s">
        <v>56</v>
      </c>
      <c r="B207" t="s">
        <v>24</v>
      </c>
      <c r="C207" t="s">
        <v>38</v>
      </c>
      <c r="D207" t="s">
        <v>39</v>
      </c>
      <c r="E207" t="s">
        <v>37</v>
      </c>
      <c r="F207" s="4">
        <v>-71961.5</v>
      </c>
      <c r="G207" s="4">
        <v>-67567.63</v>
      </c>
      <c r="H207" s="4">
        <v>-4393.87</v>
      </c>
    </row>
    <row r="208" spans="1:8">
      <c r="A208" t="s">
        <v>56</v>
      </c>
      <c r="B208" t="s">
        <v>24</v>
      </c>
      <c r="C208" t="s">
        <v>40</v>
      </c>
      <c r="D208" t="s">
        <v>41</v>
      </c>
      <c r="E208" t="s">
        <v>37</v>
      </c>
      <c r="F208" s="4">
        <v>-175224.33</v>
      </c>
      <c r="G208" s="4">
        <v>-183578.98</v>
      </c>
      <c r="H208" s="4">
        <v>8354.65</v>
      </c>
    </row>
    <row r="209" spans="1:8">
      <c r="A209" t="s">
        <v>56</v>
      </c>
      <c r="B209" t="s">
        <v>24</v>
      </c>
      <c r="C209" t="s">
        <v>42</v>
      </c>
      <c r="D209" t="s">
        <v>43</v>
      </c>
      <c r="E209" t="s">
        <v>37</v>
      </c>
      <c r="F209" s="4">
        <v>-35949.32</v>
      </c>
      <c r="G209" s="4">
        <v>-38741.37</v>
      </c>
      <c r="H209" s="4">
        <v>2792.05</v>
      </c>
    </row>
    <row r="210" spans="1:8">
      <c r="A210" t="s">
        <v>56</v>
      </c>
      <c r="B210" t="s">
        <v>24</v>
      </c>
      <c r="C210" t="s">
        <v>44</v>
      </c>
      <c r="D210" t="s">
        <v>45</v>
      </c>
      <c r="E210" t="s">
        <v>37</v>
      </c>
      <c r="F210" s="4">
        <v>-29649.83</v>
      </c>
      <c r="G210" s="4">
        <v>-28893.43</v>
      </c>
      <c r="H210" s="4">
        <v>-756.4</v>
      </c>
    </row>
    <row r="211" spans="1:8">
      <c r="A211" t="s">
        <v>56</v>
      </c>
      <c r="B211" t="s">
        <v>24</v>
      </c>
      <c r="C211" t="s">
        <v>46</v>
      </c>
      <c r="D211" t="s">
        <v>47</v>
      </c>
      <c r="E211" t="s">
        <v>48</v>
      </c>
      <c r="F211" s="4">
        <v>-20266.46</v>
      </c>
      <c r="G211" s="4">
        <v>-19545.7</v>
      </c>
      <c r="H211" s="4">
        <v>-720.76</v>
      </c>
    </row>
    <row r="212" spans="1:8">
      <c r="A212" t="s">
        <v>56</v>
      </c>
      <c r="B212" t="s">
        <v>49</v>
      </c>
      <c r="C212" t="s">
        <v>25</v>
      </c>
      <c r="D212" t="s">
        <v>26</v>
      </c>
      <c r="E212" t="s">
        <v>27</v>
      </c>
      <c r="F212" s="4">
        <v>1008569.15</v>
      </c>
      <c r="G212" s="4">
        <v>1119229.88</v>
      </c>
      <c r="H212" s="4">
        <v>-110660.73</v>
      </c>
    </row>
    <row r="213" spans="1:8">
      <c r="A213" t="s">
        <v>56</v>
      </c>
      <c r="B213" t="s">
        <v>49</v>
      </c>
      <c r="C213" t="s">
        <v>28</v>
      </c>
      <c r="D213" t="s">
        <v>29</v>
      </c>
      <c r="E213" t="s">
        <v>27</v>
      </c>
      <c r="F213" s="4">
        <v>525156.87</v>
      </c>
      <c r="G213" s="4">
        <v>477466.01</v>
      </c>
      <c r="H213" s="4">
        <v>47690.86</v>
      </c>
    </row>
    <row r="214" spans="1:8">
      <c r="A214" t="s">
        <v>56</v>
      </c>
      <c r="B214" t="s">
        <v>49</v>
      </c>
      <c r="C214" t="s">
        <v>30</v>
      </c>
      <c r="D214" t="s">
        <v>31</v>
      </c>
      <c r="E214" t="s">
        <v>27</v>
      </c>
      <c r="F214" s="4">
        <v>314065.53</v>
      </c>
      <c r="G214" s="4">
        <v>331687.97</v>
      </c>
      <c r="H214" s="4">
        <v>-17622.44</v>
      </c>
    </row>
    <row r="215" spans="1:8">
      <c r="A215" t="s">
        <v>56</v>
      </c>
      <c r="B215" t="s">
        <v>49</v>
      </c>
      <c r="C215" t="s">
        <v>32</v>
      </c>
      <c r="D215" t="s">
        <v>33</v>
      </c>
      <c r="E215" t="s">
        <v>34</v>
      </c>
      <c r="F215" s="4">
        <v>-536708.62</v>
      </c>
      <c r="G215" s="4">
        <v>-564245.72</v>
      </c>
      <c r="H215" s="4">
        <v>27537.1</v>
      </c>
    </row>
    <row r="216" spans="1:8">
      <c r="A216" t="s">
        <v>56</v>
      </c>
      <c r="B216" t="s">
        <v>49</v>
      </c>
      <c r="C216" t="s">
        <v>35</v>
      </c>
      <c r="D216" t="s">
        <v>36</v>
      </c>
      <c r="E216" t="s">
        <v>37</v>
      </c>
      <c r="F216" s="4">
        <v>-161736.46</v>
      </c>
      <c r="G216" s="4">
        <v>-152516.74</v>
      </c>
      <c r="H216" s="4">
        <v>-9219.719999999999</v>
      </c>
    </row>
    <row r="217" spans="1:8">
      <c r="A217" t="s">
        <v>56</v>
      </c>
      <c r="B217" t="s">
        <v>49</v>
      </c>
      <c r="C217" t="s">
        <v>38</v>
      </c>
      <c r="D217" t="s">
        <v>39</v>
      </c>
      <c r="E217" t="s">
        <v>37</v>
      </c>
      <c r="F217" s="4">
        <v>-212087.92</v>
      </c>
      <c r="G217" s="4">
        <v>-203204.87</v>
      </c>
      <c r="H217" s="4">
        <v>-8883.049999999999</v>
      </c>
    </row>
    <row r="218" spans="1:8">
      <c r="A218" t="s">
        <v>56</v>
      </c>
      <c r="B218" t="s">
        <v>49</v>
      </c>
      <c r="C218" t="s">
        <v>40</v>
      </c>
      <c r="D218" t="s">
        <v>41</v>
      </c>
      <c r="E218" t="s">
        <v>37</v>
      </c>
      <c r="F218" s="4">
        <v>-465274.1</v>
      </c>
      <c r="G218" s="4">
        <v>-440691.81</v>
      </c>
      <c r="H218" s="4">
        <v>-24582.29</v>
      </c>
    </row>
    <row r="219" spans="1:8">
      <c r="A219" t="s">
        <v>56</v>
      </c>
      <c r="B219" t="s">
        <v>49</v>
      </c>
      <c r="C219" t="s">
        <v>42</v>
      </c>
      <c r="D219" t="s">
        <v>43</v>
      </c>
      <c r="E219" t="s">
        <v>37</v>
      </c>
      <c r="F219" s="4">
        <v>-93564.34</v>
      </c>
      <c r="G219" s="4">
        <v>-100937.53</v>
      </c>
      <c r="H219" s="4">
        <v>7373.19</v>
      </c>
    </row>
    <row r="220" spans="1:8">
      <c r="A220" t="s">
        <v>56</v>
      </c>
      <c r="B220" t="s">
        <v>49</v>
      </c>
      <c r="C220" t="s">
        <v>44</v>
      </c>
      <c r="D220" t="s">
        <v>45</v>
      </c>
      <c r="E220" t="s">
        <v>37</v>
      </c>
      <c r="F220" s="4">
        <v>-73863.42999999999</v>
      </c>
      <c r="G220" s="4">
        <v>-73350.72</v>
      </c>
      <c r="H220" s="4">
        <v>-512.71</v>
      </c>
    </row>
    <row r="221" spans="1:8">
      <c r="A221" t="s">
        <v>56</v>
      </c>
      <c r="B221" t="s">
        <v>49</v>
      </c>
      <c r="C221" t="s">
        <v>46</v>
      </c>
      <c r="D221" t="s">
        <v>47</v>
      </c>
      <c r="E221" t="s">
        <v>48</v>
      </c>
      <c r="F221" s="4">
        <v>-58926.53</v>
      </c>
      <c r="G221" s="4">
        <v>-55686.57</v>
      </c>
      <c r="H221" s="4">
        <v>-3239.96</v>
      </c>
    </row>
    <row r="222" spans="1:8">
      <c r="A222" t="s">
        <v>56</v>
      </c>
      <c r="B222" t="s">
        <v>50</v>
      </c>
      <c r="C222" t="s">
        <v>25</v>
      </c>
      <c r="D222" t="s">
        <v>26</v>
      </c>
      <c r="E222" t="s">
        <v>27</v>
      </c>
      <c r="F222" s="4">
        <v>918559.26</v>
      </c>
      <c r="G222" s="4">
        <v>856703.24</v>
      </c>
      <c r="H222" s="4">
        <v>61856.02</v>
      </c>
    </row>
    <row r="223" spans="1:8">
      <c r="A223" t="s">
        <v>56</v>
      </c>
      <c r="B223" t="s">
        <v>50</v>
      </c>
      <c r="C223" t="s">
        <v>28</v>
      </c>
      <c r="D223" t="s">
        <v>29</v>
      </c>
      <c r="E223" t="s">
        <v>27</v>
      </c>
      <c r="F223" s="4">
        <v>477191.59</v>
      </c>
      <c r="G223" s="4">
        <v>460242.15</v>
      </c>
      <c r="H223" s="4">
        <v>16949.44</v>
      </c>
    </row>
    <row r="224" spans="1:8">
      <c r="A224" t="s">
        <v>56</v>
      </c>
      <c r="B224" t="s">
        <v>50</v>
      </c>
      <c r="C224" t="s">
        <v>30</v>
      </c>
      <c r="D224" t="s">
        <v>31</v>
      </c>
      <c r="E224" t="s">
        <v>27</v>
      </c>
      <c r="F224" s="4">
        <v>287733.78</v>
      </c>
      <c r="G224" s="4">
        <v>298668.04</v>
      </c>
      <c r="H224" s="4">
        <v>-10934.26</v>
      </c>
    </row>
    <row r="225" spans="1:8">
      <c r="A225" t="s">
        <v>56</v>
      </c>
      <c r="B225" t="s">
        <v>50</v>
      </c>
      <c r="C225" t="s">
        <v>32</v>
      </c>
      <c r="D225" t="s">
        <v>33</v>
      </c>
      <c r="E225" t="s">
        <v>34</v>
      </c>
      <c r="F225" s="4">
        <v>-480837.41</v>
      </c>
      <c r="G225" s="4">
        <v>-528992.21</v>
      </c>
      <c r="H225" s="4">
        <v>48154.8</v>
      </c>
    </row>
    <row r="226" spans="1:8">
      <c r="A226" t="s">
        <v>56</v>
      </c>
      <c r="B226" t="s">
        <v>50</v>
      </c>
      <c r="C226" t="s">
        <v>35</v>
      </c>
      <c r="D226" t="s">
        <v>36</v>
      </c>
      <c r="E226" t="s">
        <v>37</v>
      </c>
      <c r="F226" s="4">
        <v>-147975.81</v>
      </c>
      <c r="G226" s="4">
        <v>-148602.04</v>
      </c>
      <c r="H226" s="4">
        <v>626.23</v>
      </c>
    </row>
    <row r="227" spans="1:8">
      <c r="A227" t="s">
        <v>56</v>
      </c>
      <c r="B227" t="s">
        <v>50</v>
      </c>
      <c r="C227" t="s">
        <v>38</v>
      </c>
      <c r="D227" t="s">
        <v>39</v>
      </c>
      <c r="E227" t="s">
        <v>37</v>
      </c>
      <c r="F227" s="4">
        <v>-196857.71</v>
      </c>
      <c r="G227" s="4">
        <v>-216270.16</v>
      </c>
      <c r="H227" s="4">
        <v>19412.45</v>
      </c>
    </row>
    <row r="228" spans="1:8">
      <c r="A228" t="s">
        <v>56</v>
      </c>
      <c r="B228" t="s">
        <v>50</v>
      </c>
      <c r="C228" t="s">
        <v>40</v>
      </c>
      <c r="D228" t="s">
        <v>41</v>
      </c>
      <c r="E228" t="s">
        <v>37</v>
      </c>
      <c r="F228" s="4">
        <v>-388727.86</v>
      </c>
      <c r="G228" s="4">
        <v>-352903.34</v>
      </c>
      <c r="H228" s="4">
        <v>-35824.52</v>
      </c>
    </row>
    <row r="229" spans="1:8">
      <c r="A229" t="s">
        <v>56</v>
      </c>
      <c r="B229" t="s">
        <v>50</v>
      </c>
      <c r="C229" t="s">
        <v>42</v>
      </c>
      <c r="D229" t="s">
        <v>43</v>
      </c>
      <c r="E229" t="s">
        <v>37</v>
      </c>
      <c r="F229" s="4">
        <v>-81177.46000000001</v>
      </c>
      <c r="G229" s="4">
        <v>-75999.55</v>
      </c>
      <c r="H229" s="4">
        <v>-5177.91</v>
      </c>
    </row>
    <row r="230" spans="1:8">
      <c r="A230" t="s">
        <v>56</v>
      </c>
      <c r="B230" t="s">
        <v>50</v>
      </c>
      <c r="C230" t="s">
        <v>44</v>
      </c>
      <c r="D230" t="s">
        <v>45</v>
      </c>
      <c r="E230" t="s">
        <v>37</v>
      </c>
      <c r="F230" s="4">
        <v>-65641.73</v>
      </c>
      <c r="G230" s="4">
        <v>-60366.89</v>
      </c>
      <c r="H230" s="4">
        <v>-5274.84</v>
      </c>
    </row>
    <row r="231" spans="1:8">
      <c r="A231" t="s">
        <v>56</v>
      </c>
      <c r="B231" t="s">
        <v>50</v>
      </c>
      <c r="C231" t="s">
        <v>46</v>
      </c>
      <c r="D231" t="s">
        <v>47</v>
      </c>
      <c r="E231" t="s">
        <v>48</v>
      </c>
      <c r="F231" s="4">
        <v>-52885</v>
      </c>
      <c r="G231" s="4">
        <v>-49124.51</v>
      </c>
      <c r="H231" s="4">
        <v>-3760.49</v>
      </c>
    </row>
    <row r="232" spans="1:8">
      <c r="A232" t="s">
        <v>56</v>
      </c>
      <c r="B232" t="s">
        <v>51</v>
      </c>
      <c r="C232" t="s">
        <v>25</v>
      </c>
      <c r="D232" t="s">
        <v>26</v>
      </c>
      <c r="E232" t="s">
        <v>27</v>
      </c>
      <c r="F232" s="4">
        <v>627043.2</v>
      </c>
      <c r="G232" s="4">
        <v>657306.98</v>
      </c>
      <c r="H232" s="4">
        <v>-30263.78</v>
      </c>
    </row>
    <row r="233" spans="1:8">
      <c r="A233" t="s">
        <v>56</v>
      </c>
      <c r="B233" t="s">
        <v>51</v>
      </c>
      <c r="C233" t="s">
        <v>28</v>
      </c>
      <c r="D233" t="s">
        <v>29</v>
      </c>
      <c r="E233" t="s">
        <v>27</v>
      </c>
      <c r="F233" s="4">
        <v>317124.11</v>
      </c>
      <c r="G233" s="4">
        <v>326329.45</v>
      </c>
      <c r="H233" s="4">
        <v>-9205.34</v>
      </c>
    </row>
    <row r="234" spans="1:8">
      <c r="A234" t="s">
        <v>56</v>
      </c>
      <c r="B234" t="s">
        <v>51</v>
      </c>
      <c r="C234" t="s">
        <v>30</v>
      </c>
      <c r="D234" t="s">
        <v>31</v>
      </c>
      <c r="E234" t="s">
        <v>27</v>
      </c>
      <c r="F234" s="4">
        <v>185198.39</v>
      </c>
      <c r="G234" s="4">
        <v>182610.99</v>
      </c>
      <c r="H234" s="4">
        <v>2587.4</v>
      </c>
    </row>
    <row r="235" spans="1:8">
      <c r="A235" t="s">
        <v>56</v>
      </c>
      <c r="B235" t="s">
        <v>51</v>
      </c>
      <c r="C235" t="s">
        <v>32</v>
      </c>
      <c r="D235" t="s">
        <v>33</v>
      </c>
      <c r="E235" t="s">
        <v>34</v>
      </c>
      <c r="F235" s="4">
        <v>-295330.29</v>
      </c>
      <c r="G235" s="4">
        <v>-277423.95</v>
      </c>
      <c r="H235" s="4">
        <v>-17906.34</v>
      </c>
    </row>
    <row r="236" spans="1:8">
      <c r="A236" t="s">
        <v>56</v>
      </c>
      <c r="B236" t="s">
        <v>51</v>
      </c>
      <c r="C236" t="s">
        <v>35</v>
      </c>
      <c r="D236" t="s">
        <v>36</v>
      </c>
      <c r="E236" t="s">
        <v>37</v>
      </c>
      <c r="F236" s="4">
        <v>-95512.69</v>
      </c>
      <c r="G236" s="4">
        <v>-105066.8</v>
      </c>
      <c r="H236" s="4">
        <v>9554.110000000001</v>
      </c>
    </row>
    <row r="237" spans="1:8">
      <c r="A237" t="s">
        <v>56</v>
      </c>
      <c r="B237" t="s">
        <v>51</v>
      </c>
      <c r="C237" t="s">
        <v>38</v>
      </c>
      <c r="D237" t="s">
        <v>39</v>
      </c>
      <c r="E237" t="s">
        <v>37</v>
      </c>
      <c r="F237" s="4">
        <v>-116136.4</v>
      </c>
      <c r="G237" s="4">
        <v>-114007.37</v>
      </c>
      <c r="H237" s="4">
        <v>-2129.03</v>
      </c>
    </row>
    <row r="238" spans="1:8">
      <c r="A238" t="s">
        <v>56</v>
      </c>
      <c r="B238" t="s">
        <v>51</v>
      </c>
      <c r="C238" t="s">
        <v>40</v>
      </c>
      <c r="D238" t="s">
        <v>41</v>
      </c>
      <c r="E238" t="s">
        <v>37</v>
      </c>
      <c r="F238" s="4">
        <v>-280922.03</v>
      </c>
      <c r="G238" s="4">
        <v>-298382.54</v>
      </c>
      <c r="H238" s="4">
        <v>17460.51</v>
      </c>
    </row>
    <row r="239" spans="1:8">
      <c r="A239" t="s">
        <v>56</v>
      </c>
      <c r="B239" t="s">
        <v>51</v>
      </c>
      <c r="C239" t="s">
        <v>42</v>
      </c>
      <c r="D239" t="s">
        <v>43</v>
      </c>
      <c r="E239" t="s">
        <v>37</v>
      </c>
      <c r="F239" s="4">
        <v>-54786.12</v>
      </c>
      <c r="G239" s="4">
        <v>-60084.16</v>
      </c>
      <c r="H239" s="4">
        <v>5298.04</v>
      </c>
    </row>
    <row r="240" spans="1:8">
      <c r="A240" t="s">
        <v>56</v>
      </c>
      <c r="B240" t="s">
        <v>51</v>
      </c>
      <c r="C240" t="s">
        <v>44</v>
      </c>
      <c r="D240" t="s">
        <v>45</v>
      </c>
      <c r="E240" t="s">
        <v>37</v>
      </c>
      <c r="F240" s="4">
        <v>-42160</v>
      </c>
      <c r="G240" s="4">
        <v>-38785.38</v>
      </c>
      <c r="H240" s="4">
        <v>-3374.62</v>
      </c>
    </row>
    <row r="241" spans="1:8">
      <c r="A241" t="s">
        <v>56</v>
      </c>
      <c r="B241" t="s">
        <v>51</v>
      </c>
      <c r="C241" t="s">
        <v>46</v>
      </c>
      <c r="D241" t="s">
        <v>47</v>
      </c>
      <c r="E241" t="s">
        <v>48</v>
      </c>
      <c r="F241" s="4">
        <v>-33608.74</v>
      </c>
      <c r="G241" s="4">
        <v>-32364.93</v>
      </c>
      <c r="H241" s="4">
        <v>-1243.81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5" width="14.7109375" customWidth="1"/>
    <col min="6" max="6" width="16.7109375" customWidth="1"/>
  </cols>
  <sheetData>
    <row r="1" spans="1:6" ht="30" customHeight="1">
      <c r="A1" s="1" t="s">
        <v>57</v>
      </c>
    </row>
    <row r="3" spans="1:6">
      <c r="A3" s="5" t="s">
        <v>16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</row>
    <row r="4" spans="1:6">
      <c r="A4" s="6" t="s">
        <v>24</v>
      </c>
      <c r="B4" s="4">
        <f>SUMIFS('PL Data'!$F$2:$F$241,'PL Data'!$B$2:$B$241,$A4)</f>
        <v>634054.51</v>
      </c>
      <c r="C4" s="4">
        <f>SUMIFS('PL Data'!$G$2:$G$241,'PL Data'!$B$2:$B$241,$A4)</f>
        <v>615023.35</v>
      </c>
      <c r="D4" s="4">
        <f>B4-C4</f>
        <v>19031.160000000033</v>
      </c>
      <c r="E4" s="7">
        <f>IFERROR(D4/ABS(C4),0)</f>
        <v>0.030943800751630054</v>
      </c>
      <c r="F4" s="6">
        <f>IF(OR(ABS(D4)&gt;50000,ABS(E4)&gt;0.1),"MATERIAL","")</f>
        <v/>
      </c>
    </row>
    <row r="5" spans="1:6">
      <c r="A5" s="6" t="s">
        <v>49</v>
      </c>
      <c r="B5" s="4">
        <f>SUMIFS('PL Data'!$F$2:$F$241,'PL Data'!$B$2:$B$241,$A5)</f>
        <v>1674178.07</v>
      </c>
      <c r="C5" s="4">
        <f>SUMIFS('PL Data'!$G$2:$G$241,'PL Data'!$B$2:$B$241,$A5)</f>
        <v>1709723.9600000002</v>
      </c>
      <c r="D5" s="4">
        <f>B5-C5</f>
        <v>-35545.89000000013</v>
      </c>
      <c r="E5" s="7">
        <f>IFERROR(D5/ABS(C5),0)</f>
        <v>-0.020790426309519654</v>
      </c>
      <c r="F5" s="6">
        <f>IF(OR(ABS(D5)&gt;50000,ABS(E5)&gt;0.1),"MATERIAL","")</f>
        <v/>
      </c>
    </row>
    <row r="6" spans="1:6">
      <c r="A6" s="6" t="s">
        <v>50</v>
      </c>
      <c r="B6" s="4">
        <f>SUMIFS('PL Data'!$F$2:$F$241,'PL Data'!$B$2:$B$241,$A6)</f>
        <v>1421659.42</v>
      </c>
      <c r="C6" s="4">
        <f>SUMIFS('PL Data'!$G$2:$G$241,'PL Data'!$B$2:$B$241,$A6)</f>
        <v>1543569.85</v>
      </c>
      <c r="D6" s="4">
        <f>B6-C6</f>
        <v>-121910.43000000017</v>
      </c>
      <c r="E6" s="7">
        <f>IFERROR(D6/ABS(C6),0)</f>
        <v>-0.07897953565237113</v>
      </c>
      <c r="F6" s="6" t="str">
        <f>IF(OR(ABS(D6)&gt;50000,ABS(E6)&gt;0.1),"MATERIAL","")</f>
        <v>MATERIAL</v>
      </c>
    </row>
    <row r="7" spans="1:6">
      <c r="A7" s="6" t="s">
        <v>51</v>
      </c>
      <c r="B7" s="4">
        <f>SUMIFS('PL Data'!$F$2:$F$241,'PL Data'!$B$2:$B$241,$A7)</f>
        <v>1037367.3799999999</v>
      </c>
      <c r="C7" s="4">
        <f>SUMIFS('PL Data'!$G$2:$G$241,'PL Data'!$B$2:$B$241,$A7)</f>
        <v>1179772.32</v>
      </c>
      <c r="D7" s="4">
        <f>B7-C7</f>
        <v>-142404.94000000018</v>
      </c>
      <c r="E7" s="7">
        <f>IFERROR(D7/ABS(C7),0)</f>
        <v>-0.12070544255522131</v>
      </c>
      <c r="F7" s="6" t="str">
        <f>IF(OR(ABS(D7)&gt;50000,ABS(E7)&gt;0.1),"MATERIAL","")</f>
        <v>MATERIAL</v>
      </c>
    </row>
    <row r="10" spans="1:6">
      <c r="A10" s="8" t="s">
        <v>63</v>
      </c>
    </row>
    <row r="12" spans="1:6">
      <c r="A12" s="5" t="s">
        <v>15</v>
      </c>
      <c r="B12" s="5" t="s">
        <v>58</v>
      </c>
      <c r="C12" s="5" t="s">
        <v>59</v>
      </c>
      <c r="D12" s="5" t="s">
        <v>60</v>
      </c>
      <c r="E12" s="5" t="s">
        <v>61</v>
      </c>
    </row>
    <row r="13" spans="1:6">
      <c r="A13" s="6" t="s">
        <v>23</v>
      </c>
      <c r="B13" s="4">
        <f>SUMIFS('PL Data'!$F$2:$F$241,'PL Data'!$A$2:$A$241,$A13)</f>
        <v>771247.89</v>
      </c>
      <c r="C13" s="4">
        <f>SUMIFS('PL Data'!$G$2:$G$241,'PL Data'!$A$2:$A$241,$A13)</f>
        <v>720466.5600000002</v>
      </c>
      <c r="D13" s="4">
        <f>B13-C13</f>
        <v>50781.32999999984</v>
      </c>
      <c r="E13" s="7">
        <f>IFERROR(D13/ABS(C13),0)</f>
        <v>0.07048395139949289</v>
      </c>
    </row>
    <row r="14" spans="1:6">
      <c r="A14" s="6" t="s">
        <v>52</v>
      </c>
      <c r="B14" s="4">
        <f>SUMIFS('PL Data'!$F$2:$F$241,'PL Data'!$A$2:$A$241,$A14)</f>
        <v>798523.22</v>
      </c>
      <c r="C14" s="4">
        <f>SUMIFS('PL Data'!$G$2:$G$241,'PL Data'!$A$2:$A$241,$A14)</f>
        <v>928660.3700000001</v>
      </c>
      <c r="D14" s="4">
        <f>B14-C14</f>
        <v>-130137.15000000014</v>
      </c>
      <c r="E14" s="7">
        <f>IFERROR(D14/ABS(C14),0)</f>
        <v>-0.14013427750771806</v>
      </c>
    </row>
    <row r="15" spans="1:6">
      <c r="A15" s="6" t="s">
        <v>53</v>
      </c>
      <c r="B15" s="4">
        <f>SUMIFS('PL Data'!$F$2:$F$241,'PL Data'!$A$2:$A$241,$A15)</f>
        <v>689206.9199999999</v>
      </c>
      <c r="C15" s="4">
        <f>SUMIFS('PL Data'!$G$2:$G$241,'PL Data'!$A$2:$A$241,$A15)</f>
        <v>849744.6600000003</v>
      </c>
      <c r="D15" s="4">
        <f>B15-C15</f>
        <v>-160537.74000000034</v>
      </c>
      <c r="E15" s="7">
        <f>IFERROR(D15/ABS(C15),0)</f>
        <v>-0.1889246823863539</v>
      </c>
    </row>
    <row r="16" spans="1:6">
      <c r="A16" s="6" t="s">
        <v>54</v>
      </c>
      <c r="B16" s="4">
        <f>SUMIFS('PL Data'!$F$2:$F$241,'PL Data'!$A$2:$A$241,$A16)</f>
        <v>866470.1399999999</v>
      </c>
      <c r="C16" s="4">
        <f>SUMIFS('PL Data'!$G$2:$G$241,'PL Data'!$A$2:$A$241,$A16)</f>
        <v>854616.1900000001</v>
      </c>
      <c r="D16" s="4">
        <f>B16-C16</f>
        <v>11853.949999999837</v>
      </c>
      <c r="E16" s="7">
        <f>IFERROR(D16/ABS(C16),0)</f>
        <v>0.013870495479379855</v>
      </c>
    </row>
    <row r="17" spans="1:5">
      <c r="A17" s="6" t="s">
        <v>55</v>
      </c>
      <c r="B17" s="4">
        <f>SUMIFS('PL Data'!$F$2:$F$241,'PL Data'!$A$2:$A$241,$A17)</f>
        <v>812492.36</v>
      </c>
      <c r="C17" s="4">
        <f>SUMIFS('PL Data'!$G$2:$G$241,'PL Data'!$A$2:$A$241,$A17)</f>
        <v>845037.68</v>
      </c>
      <c r="D17" s="4">
        <f>B17-C17</f>
        <v>-32545.320000000065</v>
      </c>
      <c r="E17" s="7">
        <f>IFERROR(D17/ABS(C17),0)</f>
        <v>-0.038513454216621515</v>
      </c>
    </row>
    <row r="18" spans="1:5">
      <c r="A18" s="6" t="s">
        <v>56</v>
      </c>
      <c r="B18" s="4">
        <f>SUMIFS('PL Data'!$F$2:$F$241,'PL Data'!$A$2:$A$241,$A18)</f>
        <v>829318.8500000001</v>
      </c>
      <c r="C18" s="4">
        <f>SUMIFS('PL Data'!$G$2:$G$241,'PL Data'!$A$2:$A$241,$A18)</f>
        <v>849564.0199999998</v>
      </c>
      <c r="D18" s="4">
        <f>B18-C18</f>
        <v>-20245.169999999693</v>
      </c>
      <c r="E18" s="7">
        <f>IFERROR(D18/ABS(C18),0)</f>
        <v>-0.023830069922216923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22.7109375" customWidth="1"/>
    <col min="4" max="4" width="34.7109375" customWidth="1"/>
  </cols>
  <sheetData>
    <row r="1" spans="1:4" ht="30" customHeight="1">
      <c r="A1" s="1" t="s">
        <v>64</v>
      </c>
    </row>
    <row r="3" spans="1:4">
      <c r="A3" s="5" t="s">
        <v>65</v>
      </c>
      <c r="B3" s="5" t="s">
        <v>66</v>
      </c>
      <c r="C3" s="5" t="s">
        <v>67</v>
      </c>
      <c r="D3" s="5" t="s">
        <v>68</v>
      </c>
    </row>
    <row r="4" spans="1:4">
      <c r="A4" s="2" t="s">
        <v>69</v>
      </c>
      <c r="B4" s="4">
        <f>SUM('PL Data'!F2:F241)</f>
        <v>4767259.38</v>
      </c>
      <c r="C4" s="4">
        <v>4767259.38</v>
      </c>
      <c r="D4" s="6" t="str">
        <f>IF(ROUND(B4,2)=ROUND(C4,2),"OK","CHECK")</f>
        <v>OK</v>
      </c>
    </row>
    <row r="5" spans="1:4">
      <c r="A5" s="2" t="s">
        <v>70</v>
      </c>
      <c r="B5" s="4">
        <f>SUM('PL Data'!G2:G241)</f>
        <v>5048089.48</v>
      </c>
      <c r="C5" s="4">
        <v>5048089.48</v>
      </c>
      <c r="D5" s="6" t="str">
        <f>IF(ROUND(B5,2)=ROUND(C5,2),"OK","CHECK")</f>
        <v>OK</v>
      </c>
    </row>
    <row r="6" spans="1:4">
      <c r="A6" s="2" t="s">
        <v>71</v>
      </c>
      <c r="B6" s="4">
        <f>B4-B5</f>
        <v>-280830.1</v>
      </c>
      <c r="C6" s="4">
        <v>-280830.1</v>
      </c>
      <c r="D6" s="6" t="str">
        <f>IF(ROUND(B6,2)=ROUND(C6,2),"OK","CHECK")</f>
        <v>OK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44.7109375" customWidth="1"/>
    <col min="4" max="4" width="18.7109375" customWidth="1"/>
    <col min="5" max="5" width="24.7109375" customWidth="1"/>
  </cols>
  <sheetData>
    <row r="1" spans="1:5" ht="30" customHeight="1">
      <c r="A1" s="1" t="s">
        <v>72</v>
      </c>
    </row>
    <row r="2" spans="1:5">
      <c r="A2" s="9" t="s">
        <v>73</v>
      </c>
    </row>
    <row r="5" spans="1:5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</row>
    <row r="6" spans="1:5" ht="28" customHeight="1">
      <c r="A6" s="3"/>
      <c r="B6" s="3"/>
      <c r="C6" s="3"/>
      <c r="D6" s="3"/>
      <c r="E6" s="3"/>
    </row>
    <row r="7" spans="1:5" ht="28" customHeight="1">
      <c r="A7" s="3"/>
      <c r="B7" s="3"/>
      <c r="C7" s="3"/>
      <c r="D7" s="3"/>
      <c r="E7" s="3"/>
    </row>
    <row r="8" spans="1:5" ht="28" customHeight="1">
      <c r="A8" s="3"/>
      <c r="B8" s="3"/>
      <c r="C8" s="3"/>
      <c r="D8" s="3"/>
      <c r="E8" s="3"/>
    </row>
    <row r="9" spans="1:5" ht="28" customHeight="1">
      <c r="A9" s="3"/>
      <c r="B9" s="3"/>
      <c r="C9" s="3"/>
      <c r="D9" s="3"/>
      <c r="E9" s="3"/>
    </row>
    <row r="10" spans="1:5" ht="28" customHeight="1">
      <c r="A10" s="3"/>
      <c r="B10" s="3"/>
      <c r="C10" s="3"/>
      <c r="D10" s="3"/>
      <c r="E10" s="3"/>
    </row>
    <row r="11" spans="1:5" ht="28" customHeight="1">
      <c r="A11" s="3"/>
      <c r="B11" s="3"/>
      <c r="C11" s="3"/>
      <c r="D11" s="3"/>
      <c r="E11" s="3"/>
    </row>
    <row r="12" spans="1:5" ht="28" customHeight="1">
      <c r="A12" s="3"/>
      <c r="B12" s="3"/>
      <c r="C12" s="3"/>
      <c r="D12" s="3"/>
      <c r="E12" s="3"/>
    </row>
    <row r="13" spans="1:5" ht="28" customHeight="1">
      <c r="A13" s="3"/>
      <c r="B13" s="3"/>
      <c r="C13" s="3"/>
      <c r="D13" s="3"/>
      <c r="E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PL Data</vt:lpstr>
      <vt:lpstr>Analysis</vt:lpstr>
      <vt:lpstr>Dashboard</vt:lpstr>
      <vt:lpstr>Commentary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2026-09-06T08:22:04Z</dcterms:created>
  <dcterms:modified xsi:type="dcterms:W3CDTF">2026-09-06T08:22:04Z</dcterms:modified>
</cp:coreProperties>
</file>