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rt Here" sheetId="1" r:id="rId1"/>
    <sheet name="Actuals" sheetId="2" r:id="rId2"/>
    <sheet name="Budget" sheetId="3" r:id="rId3"/>
    <sheet name="Assumptions" sheetId="4" r:id="rId4"/>
    <sheet name="Analysis" sheetId="5" r:id="rId5"/>
    <sheet name="Forecast" sheetId="6" r:id="rId6"/>
    <sheet name="Dashboard" sheetId="7" r:id="rId7"/>
    <sheet name="Controls" sheetId="8" r:id="rId8"/>
  </sheets>
  <calcPr calcId="124519" fullCalcOnLoad="1"/>
</workbook>
</file>

<file path=xl/sharedStrings.xml><?xml version="1.0" encoding="utf-8"?>
<sst xmlns="http://schemas.openxmlformats.org/spreadsheetml/2006/main" count="384" uniqueCount="70">
  <si>
    <t>Lab 3: Build an FP&amp;A Formula Model and Dashboard</t>
  </si>
  <si>
    <t>Course</t>
  </si>
  <si>
    <t>Generative AI for Finance and Fintech (TGS-2026065050)</t>
  </si>
  <si>
    <t>TSC mapping</t>
  </si>
  <si>
    <t>K1 · A2</t>
  </si>
  <si>
    <t>Objective</t>
  </si>
  <si>
    <t>Use native finance formulas, scenarios and charts to build an auditable management dashboard.</t>
  </si>
  <si>
    <t>Scenario</t>
  </si>
  <si>
    <t>Northstar's CFO needs a monthly performance dashboard and a transparent base/downside forecast.</t>
  </si>
  <si>
    <t>Expected output</t>
  </si>
  <si>
    <t>An editable dashboard with actual, budget, variance, forecast and driver views.</t>
  </si>
  <si>
    <t>Data notice</t>
  </si>
  <si>
    <t>All names, accounts, transactions and scores are synthetic. Do not replace them with live personal or customer data.</t>
  </si>
  <si>
    <t>Acceptance</t>
  </si>
  <si>
    <t>Dashboard charts remain linked to data; all formula checks pass; total variance equals actual less budget; scenarios use assumption cells rather than hard-coded outputs.</t>
  </si>
  <si>
    <t>Department</t>
  </si>
  <si>
    <t>Month</t>
  </si>
  <si>
    <t>Month No</t>
  </si>
  <si>
    <t>Revenue</t>
  </si>
  <si>
    <t>Cost of Sales</t>
  </si>
  <si>
    <t>Operating Expense</t>
  </si>
  <si>
    <t>Retail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</si>
  <si>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</si>
  <si>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</si>
  <si>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</si>
  <si>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</si>
  <si>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</si>
  <si>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</si>
  <si>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</si>
  <si>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</si>
  <si>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</si>
  <si>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</si>
  <si>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</si>
  <si>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</si>
  <si>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SME</t>
  </si>
  <si>
    <t>Enterprise</t>
  </si>
  <si>
    <t>Digital</t>
  </si>
  <si>
    <t>Scenario assumptions</t>
  </si>
  <si>
    <t>Assumption</t>
  </si>
  <si>
    <t>Value</t>
  </si>
  <si>
    <t>Owner</t>
  </si>
  <si>
    <t>Base revenue growth</t>
  </si>
  <si>
    <t>FP&amp;A Director</t>
  </si>
  <si>
    <t>Downside revenue growth</t>
  </si>
  <si>
    <t>Base COGS %</t>
  </si>
  <si>
    <t>Downside COGS %</t>
  </si>
  <si>
    <t>Base opex growth</t>
  </si>
  <si>
    <t>Downside opex growth</t>
  </si>
  <si>
    <t>Discount rate</t>
  </si>
  <si>
    <t>Actual Revenue</t>
  </si>
  <si>
    <t>Budget Revenue</t>
  </si>
  <si>
    <t>Revenue Variance</t>
  </si>
  <si>
    <t>Actual EBITDA</t>
  </si>
  <si>
    <t>Budget EBITDA</t>
  </si>
  <si>
    <t>EBITDA Variance</t>
  </si>
  <si>
    <t>Variance %</t>
  </si>
  <si>
    <t>Commentary status</t>
  </si>
  <si>
    <t>Base Revenue</t>
  </si>
  <si>
    <t>Downside Revenue</t>
  </si>
  <si>
    <t>Base EBITDA</t>
  </si>
  <si>
    <t>Downside EBITDA</t>
  </si>
  <si>
    <t>NORTHSTAR FP&amp;A DASHBOARD</t>
  </si>
  <si>
    <t>Workbook control checks</t>
  </si>
  <si>
    <t>Check</t>
  </si>
  <si>
    <t>Calculated</t>
  </si>
  <si>
    <t>Expected</t>
  </si>
  <si>
    <t>Actual revenue control</t>
  </si>
  <si>
    <t>Budget revenue control</t>
  </si>
  <si>
    <t>Variance identity</t>
  </si>
  <si>
    <t>Formula status count</t>
  </si>
</sst>
</file>

<file path=xl/styles.xml><?xml version="1.0" encoding="utf-8"?>
<styleSheet xmlns="http://schemas.openxmlformats.org/spreadsheetml/2006/main">
  <numFmts count="3">
    <numFmt numFmtId="164" formatCode="$#,##0;[Red]-$#,##0"/>
    <numFmt numFmtId="165" formatCode="0.0%"/>
    <numFmt numFmtId="166" formatCode="$#,##0"/>
  </numFmts>
  <fonts count="4">
    <font>
      <sz val="11"/>
      <color theme="1"/>
      <name val="Calibri"/>
      <family val="2"/>
      <scheme val="minor"/>
    </font>
    <font>
      <b/>
      <sz val="18"/>
      <color rgb="FF161B26"/>
      <name val="Calibri"/>
      <family val="2"/>
      <scheme val="minor"/>
    </font>
    <font>
      <b/>
      <sz val="11"/>
      <color rgb="FF161B26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8F0FE"/>
        <bgColor indexed="64"/>
      </patternFill>
    </fill>
    <fill>
      <patternFill patternType="solid">
        <fgColor rgb="FF1F6FEB"/>
        <bgColor indexed="64"/>
      </patternFill>
    </fill>
    <fill>
      <patternFill patternType="solid">
        <fgColor rgb="FFFFF7E6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D7E0EA"/>
      </left>
      <right style="thin">
        <color rgb="FFD7E0EA"/>
      </right>
      <top style="thin">
        <color rgb="FFD7E0EA"/>
      </top>
      <bottom style="thin">
        <color rgb="FFD7E0E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F59E0B"/>
      </left>
      <right style="thin">
        <color rgb="FFF59E0B"/>
      </right>
      <top style="thin">
        <color rgb="FFF59E0B"/>
      </top>
      <bottom style="thin">
        <color rgb="FFF59E0B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2" xfId="0" applyBorder="1" applyAlignment="1">
      <alignment vertical="top" wrapText="1"/>
    </xf>
    <xf numFmtId="164" fontId="0" fillId="0" borderId="2" xfId="0" applyNumberFormat="1" applyBorder="1"/>
    <xf numFmtId="0" fontId="3" fillId="3" borderId="1" xfId="0" applyFont="1" applyFill="1" applyBorder="1" applyAlignment="1">
      <alignment vertical="center" wrapText="1"/>
    </xf>
    <xf numFmtId="0" fontId="0" fillId="0" borderId="2" xfId="0" applyBorder="1" applyAlignment="1">
      <alignment vertical="top"/>
    </xf>
    <xf numFmtId="165" fontId="0" fillId="4" borderId="3" xfId="0" applyNumberFormat="1" applyFill="1" applyBorder="1"/>
    <xf numFmtId="166" fontId="1" fillId="5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Revenue forecast scenarios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Base revenue</c:v>
          </c:tx>
          <c:spPr>
            <a:solidFill>
              <a:srgbClr val="1F6FEB"/>
            </a:solidFill>
          </c:spPr>
          <c:cat>
            <c:strRef>
              <c:f>Forecast!$A$2:$A$13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Forecast!$C$2:$C$13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Downside revenue</c:v>
          </c:tx>
          <c:spPr>
            <a:solidFill>
              <a:srgbClr val="F59E0B"/>
            </a:solidFill>
          </c:spPr>
          <c:cat>
            <c:strRef>
              <c:f>Forecast!$A$2:$A$13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Forecast!$D$2:$D$13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EBITDA outlook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Base EBITDA</c:v>
          </c:tx>
          <c:spPr>
            <a:ln w="31750">
              <a:solidFill>
                <a:srgbClr val="10B981"/>
              </a:solidFill>
            </a:ln>
          </c:spPr>
          <c:marker>
            <c:symbol val="none"/>
          </c:marker>
          <c:cat>
            <c:strRef>
              <c:f>Forecast!$A$2:$A$13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Forecast!$E$2:$E$13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Downside EBITDA</c:v>
          </c:tx>
          <c:spPr>
            <a:ln w="31750">
              <a:solidFill>
                <a:srgbClr val="DC2626"/>
              </a:solidFill>
            </a:ln>
          </c:spPr>
          <c:marker>
            <c:symbol val="none"/>
          </c:marker>
          <c:cat>
            <c:strRef>
              <c:f>Forecast!$A$2:$A$13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Forecast!$F$2:$F$13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8</xdr:col>
      <xdr:colOff>238125</xdr:colOff>
      <xdr:row>25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7</xdr:row>
      <xdr:rowOff>0</xdr:rowOff>
    </xdr:from>
    <xdr:to>
      <xdr:col>14</xdr:col>
      <xdr:colOff>238125</xdr:colOff>
      <xdr:row>25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ActualsTable" displayName="ActualsTable" ref="A1:F49" totalsRowShown="0">
  <autoFilter ref="A1:F49"/>
  <tableColumns count="6">
    <tableColumn id="1" name="Department"/>
    <tableColumn id="2" name="Month"/>
    <tableColumn id="3" name="Month No"/>
    <tableColumn id="4" name="Revenue"/>
    <tableColumn id="5" name="Cost of Sales"/>
    <tableColumn id="6" name="Operating Expens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BudgetTable" displayName="BudgetTable" ref="A1:F49" totalsRowShown="0">
  <autoFilter ref="A1:F49"/>
  <tableColumns count="6">
    <tableColumn id="1" name="Department"/>
    <tableColumn id="2" name="Month"/>
    <tableColumn id="3" name="Month No"/>
    <tableColumn id="4" name="Revenue"/>
    <tableColumn id="5" name="Cost of Sales"/>
    <tableColumn id="6" name="Operating Expens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AnalysisTable" displayName="AnalysisTable" ref="A1:J49" totalsRowShown="0">
  <autoFilter ref="A1:J49"/>
  <tableColumns count="10">
    <tableColumn id="1" name="Department"/>
    <tableColumn id="2" name="Month"/>
    <tableColumn id="3" name="Actual Revenue"/>
    <tableColumn id="4" name="Budget Revenue"/>
    <tableColumn id="5" name="Revenue Variance"/>
    <tableColumn id="6" name="Actual EBITDA"/>
    <tableColumn id="7" name="Budget EBITDA"/>
    <tableColumn id="8" name="EBITDA Variance"/>
    <tableColumn id="9" name="Variance %"/>
    <tableColumn id="10" name="Commentary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88.7109375" customWidth="1"/>
  </cols>
  <sheetData>
    <row r="1" spans="1:2" ht="30" customHeight="1">
      <c r="A1" s="1" t="s">
        <v>0</v>
      </c>
    </row>
    <row r="3" spans="1:2">
      <c r="A3" s="2" t="s">
        <v>1</v>
      </c>
      <c r="B3" s="3" t="s">
        <v>2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 ht="60" customHeight="1">
      <c r="A6" s="2" t="s">
        <v>7</v>
      </c>
      <c r="B6" s="3" t="s">
        <v>8</v>
      </c>
    </row>
    <row r="7" spans="1:2" ht="55" customHeight="1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 ht="55" customHeight="1">
      <c r="A9" s="2" t="s">
        <v>13</v>
      </c>
      <c r="B9" s="3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3" width="10.7109375" customWidth="1"/>
    <col min="4" max="6" width="16.7109375" customWidth="1"/>
  </cols>
  <sheetData>
    <row r="1" spans="1:6" ht="30" customHeight="1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</row>
    <row r="2" spans="1:6">
      <c r="A2" t="s">
        <v>21</v>
      </c>
      <c r="B2" t="s">
        <v>22</v>
      </c>
      <c r="C2">
        <v>1</v>
      </c>
      <c r="D2" s="4">
        <v>522095</v>
      </c>
      <c r="E2" s="4">
        <v>-219636</v>
      </c>
      <c r="F2" s="4">
        <v>-154182</v>
      </c>
    </row>
    <row r="3" spans="1:6">
      <c r="A3" t="s">
        <v>21</v>
      </c>
      <c r="B3" t="s">
        <v>23</v>
      </c>
      <c r="C3">
        <v>2</v>
      </c>
      <c r="D3" s="4">
        <v>548313</v>
      </c>
      <c r="E3" s="4">
        <v>-233687</v>
      </c>
      <c r="F3" s="4">
        <v>-163196</v>
      </c>
    </row>
    <row r="4" spans="1:6">
      <c r="A4" t="s">
        <v>21</v>
      </c>
      <c r="B4" t="s">
        <v>24</v>
      </c>
      <c r="C4">
        <v>3</v>
      </c>
      <c r="D4" s="4">
        <v>589652</v>
      </c>
      <c r="E4" s="4">
        <v>-242204</v>
      </c>
      <c r="F4" s="4">
        <v>-163385</v>
      </c>
    </row>
    <row r="5" spans="1:6">
      <c r="A5" t="s">
        <v>21</v>
      </c>
      <c r="B5" t="s">
        <v>25</v>
      </c>
      <c r="C5">
        <v>4</v>
      </c>
      <c r="D5" s="4">
        <v>534938</v>
      </c>
      <c r="E5" s="4">
        <v>-227536</v>
      </c>
      <c r="F5" s="4">
        <v>-165293</v>
      </c>
    </row>
    <row r="6" spans="1:6">
      <c r="A6" t="s">
        <v>21</v>
      </c>
      <c r="B6" t="s">
        <v>26</v>
      </c>
      <c r="C6">
        <v>5</v>
      </c>
      <c r="D6" s="4">
        <v>638383</v>
      </c>
      <c r="E6" s="4">
        <v>-266036</v>
      </c>
      <c r="F6" s="4">
        <v>-186575</v>
      </c>
    </row>
    <row r="7" spans="1:6">
      <c r="A7" t="s">
        <v>21</v>
      </c>
      <c r="B7" t="s">
        <v>27</v>
      </c>
      <c r="C7">
        <v>6</v>
      </c>
      <c r="D7" s="4">
        <v>669902</v>
      </c>
      <c r="E7" s="4">
        <v>-287872</v>
      </c>
      <c r="F7" s="4">
        <v>-186341</v>
      </c>
    </row>
    <row r="8" spans="1:6">
      <c r="A8" t="s">
        <v>21</v>
      </c>
      <c r="B8" t="s">
        <v>28</v>
      </c>
      <c r="C8">
        <v>7</v>
      </c>
      <c r="D8" s="4">
        <v>689097</v>
      </c>
      <c r="E8" s="4">
        <v>-281845</v>
      </c>
      <c r="F8" s="4">
        <v>-186180</v>
      </c>
    </row>
    <row r="9" spans="1:6">
      <c r="A9" t="s">
        <v>21</v>
      </c>
      <c r="B9" t="s">
        <v>29</v>
      </c>
      <c r="C9">
        <v>8</v>
      </c>
      <c r="D9" s="4">
        <v>633483</v>
      </c>
      <c r="E9" s="4">
        <v>-261948</v>
      </c>
      <c r="F9" s="4">
        <v>-193910</v>
      </c>
    </row>
    <row r="10" spans="1:6">
      <c r="A10" t="s">
        <v>21</v>
      </c>
      <c r="B10" t="s">
        <v>30</v>
      </c>
      <c r="C10">
        <v>9</v>
      </c>
      <c r="D10" s="4">
        <v>661065</v>
      </c>
      <c r="E10" s="4">
        <v>-289973</v>
      </c>
      <c r="F10" s="4">
        <v>-207532</v>
      </c>
    </row>
    <row r="11" spans="1:6">
      <c r="A11" t="s">
        <v>21</v>
      </c>
      <c r="B11" t="s">
        <v>31</v>
      </c>
      <c r="C11">
        <v>10</v>
      </c>
      <c r="D11" s="4">
        <v>706390</v>
      </c>
      <c r="E11" s="4">
        <v>-305505</v>
      </c>
      <c r="F11" s="4">
        <v>-221102</v>
      </c>
    </row>
    <row r="12" spans="1:6">
      <c r="A12" t="s">
        <v>21</v>
      </c>
      <c r="B12" t="s">
        <v>32</v>
      </c>
      <c r="C12">
        <v>11</v>
      </c>
      <c r="D12" s="4">
        <v>701629</v>
      </c>
      <c r="E12" s="4">
        <v>-300939</v>
      </c>
      <c r="F12" s="4">
        <v>-221384</v>
      </c>
    </row>
    <row r="13" spans="1:6">
      <c r="A13" t="s">
        <v>21</v>
      </c>
      <c r="B13" t="s">
        <v>33</v>
      </c>
      <c r="C13">
        <v>12</v>
      </c>
      <c r="D13" s="4">
        <v>771076</v>
      </c>
      <c r="E13" s="4">
        <v>-315428</v>
      </c>
      <c r="F13" s="4">
        <v>-219986</v>
      </c>
    </row>
    <row r="14" spans="1:6">
      <c r="A14" t="s">
        <v>34</v>
      </c>
      <c r="B14" t="s">
        <v>22</v>
      </c>
      <c r="C14">
        <v>1</v>
      </c>
      <c r="D14" s="4">
        <v>563593</v>
      </c>
      <c r="E14" s="4">
        <v>-227578</v>
      </c>
      <c r="F14" s="4">
        <v>-167368</v>
      </c>
    </row>
    <row r="15" spans="1:6">
      <c r="A15" t="s">
        <v>34</v>
      </c>
      <c r="B15" t="s">
        <v>23</v>
      </c>
      <c r="C15">
        <v>2</v>
      </c>
      <c r="D15" s="4">
        <v>554427</v>
      </c>
      <c r="E15" s="4">
        <v>-234732</v>
      </c>
      <c r="F15" s="4">
        <v>-174913</v>
      </c>
    </row>
    <row r="16" spans="1:6">
      <c r="A16" t="s">
        <v>34</v>
      </c>
      <c r="B16" t="s">
        <v>24</v>
      </c>
      <c r="C16">
        <v>3</v>
      </c>
      <c r="D16" s="4">
        <v>640409</v>
      </c>
      <c r="E16" s="4">
        <v>-279046</v>
      </c>
      <c r="F16" s="4">
        <v>-189645</v>
      </c>
    </row>
    <row r="17" spans="1:6">
      <c r="A17" t="s">
        <v>34</v>
      </c>
      <c r="B17" t="s">
        <v>25</v>
      </c>
      <c r="C17">
        <v>4</v>
      </c>
      <c r="D17" s="4">
        <v>630286</v>
      </c>
      <c r="E17" s="4">
        <v>-269410</v>
      </c>
      <c r="F17" s="4">
        <v>-183945</v>
      </c>
    </row>
    <row r="18" spans="1:6">
      <c r="A18" t="s">
        <v>34</v>
      </c>
      <c r="B18" t="s">
        <v>26</v>
      </c>
      <c r="C18">
        <v>5</v>
      </c>
      <c r="D18" s="4">
        <v>626659</v>
      </c>
      <c r="E18" s="4">
        <v>-256098</v>
      </c>
      <c r="F18" s="4">
        <v>-191305</v>
      </c>
    </row>
    <row r="19" spans="1:6">
      <c r="A19" t="s">
        <v>34</v>
      </c>
      <c r="B19" t="s">
        <v>27</v>
      </c>
      <c r="C19">
        <v>6</v>
      </c>
      <c r="D19" s="4">
        <v>748704</v>
      </c>
      <c r="E19" s="4">
        <v>-322048</v>
      </c>
      <c r="F19" s="4">
        <v>-198404</v>
      </c>
    </row>
    <row r="20" spans="1:6">
      <c r="A20" t="s">
        <v>34</v>
      </c>
      <c r="B20" t="s">
        <v>28</v>
      </c>
      <c r="C20">
        <v>7</v>
      </c>
      <c r="D20" s="4">
        <v>719811</v>
      </c>
      <c r="E20" s="4">
        <v>-292180</v>
      </c>
      <c r="F20" s="4">
        <v>-203269</v>
      </c>
    </row>
    <row r="21" spans="1:6">
      <c r="A21" t="s">
        <v>34</v>
      </c>
      <c r="B21" t="s">
        <v>29</v>
      </c>
      <c r="C21">
        <v>8</v>
      </c>
      <c r="D21" s="4">
        <v>738549</v>
      </c>
      <c r="E21" s="4">
        <v>-298054</v>
      </c>
      <c r="F21" s="4">
        <v>-225017</v>
      </c>
    </row>
    <row r="22" spans="1:6">
      <c r="A22" t="s">
        <v>34</v>
      </c>
      <c r="B22" t="s">
        <v>30</v>
      </c>
      <c r="C22">
        <v>9</v>
      </c>
      <c r="D22" s="4">
        <v>824747</v>
      </c>
      <c r="E22" s="4">
        <v>-354010</v>
      </c>
      <c r="F22" s="4">
        <v>-223449</v>
      </c>
    </row>
    <row r="23" spans="1:6">
      <c r="A23" t="s">
        <v>34</v>
      </c>
      <c r="B23" t="s">
        <v>31</v>
      </c>
      <c r="C23">
        <v>10</v>
      </c>
      <c r="D23" s="4">
        <v>741875</v>
      </c>
      <c r="E23" s="4">
        <v>-296839</v>
      </c>
      <c r="F23" s="4">
        <v>-230870</v>
      </c>
    </row>
    <row r="24" spans="1:6">
      <c r="A24" t="s">
        <v>34</v>
      </c>
      <c r="B24" t="s">
        <v>32</v>
      </c>
      <c r="C24">
        <v>11</v>
      </c>
      <c r="D24" s="4">
        <v>837769</v>
      </c>
      <c r="E24" s="4">
        <v>-357573</v>
      </c>
      <c r="F24" s="4">
        <v>-229395</v>
      </c>
    </row>
    <row r="25" spans="1:6">
      <c r="A25" t="s">
        <v>34</v>
      </c>
      <c r="B25" t="s">
        <v>33</v>
      </c>
      <c r="C25">
        <v>12</v>
      </c>
      <c r="D25" s="4">
        <v>768692</v>
      </c>
      <c r="E25" s="4">
        <v>-330615</v>
      </c>
      <c r="F25" s="4">
        <v>-236445</v>
      </c>
    </row>
    <row r="26" spans="1:6">
      <c r="A26" t="s">
        <v>35</v>
      </c>
      <c r="B26" t="s">
        <v>22</v>
      </c>
      <c r="C26">
        <v>1</v>
      </c>
      <c r="D26" s="4">
        <v>656258</v>
      </c>
      <c r="E26" s="4">
        <v>-269622</v>
      </c>
      <c r="F26" s="4">
        <v>-192757</v>
      </c>
    </row>
    <row r="27" spans="1:6">
      <c r="A27" t="s">
        <v>35</v>
      </c>
      <c r="B27" t="s">
        <v>23</v>
      </c>
      <c r="C27">
        <v>2</v>
      </c>
      <c r="D27" s="4">
        <v>707064</v>
      </c>
      <c r="E27" s="4">
        <v>-307240</v>
      </c>
      <c r="F27" s="4">
        <v>-195646</v>
      </c>
    </row>
    <row r="28" spans="1:6">
      <c r="A28" t="s">
        <v>35</v>
      </c>
      <c r="B28" t="s">
        <v>24</v>
      </c>
      <c r="C28">
        <v>3</v>
      </c>
      <c r="D28" s="4">
        <v>653753</v>
      </c>
      <c r="E28" s="4">
        <v>-265283</v>
      </c>
      <c r="F28" s="4">
        <v>-193261</v>
      </c>
    </row>
    <row r="29" spans="1:6">
      <c r="A29" t="s">
        <v>35</v>
      </c>
      <c r="B29" t="s">
        <v>25</v>
      </c>
      <c r="C29">
        <v>4</v>
      </c>
      <c r="D29" s="4">
        <v>771775</v>
      </c>
      <c r="E29" s="4">
        <v>-314893</v>
      </c>
      <c r="F29" s="4">
        <v>-208244</v>
      </c>
    </row>
    <row r="30" spans="1:6">
      <c r="A30" t="s">
        <v>35</v>
      </c>
      <c r="B30" t="s">
        <v>26</v>
      </c>
      <c r="C30">
        <v>5</v>
      </c>
      <c r="D30" s="4">
        <v>785221</v>
      </c>
      <c r="E30" s="4">
        <v>-316662</v>
      </c>
      <c r="F30" s="4">
        <v>-221585</v>
      </c>
    </row>
    <row r="31" spans="1:6">
      <c r="A31" t="s">
        <v>35</v>
      </c>
      <c r="B31" t="s">
        <v>27</v>
      </c>
      <c r="C31">
        <v>6</v>
      </c>
      <c r="D31" s="4">
        <v>807823</v>
      </c>
      <c r="E31" s="4">
        <v>-339747</v>
      </c>
      <c r="F31" s="4">
        <v>-226654</v>
      </c>
    </row>
    <row r="32" spans="1:6">
      <c r="A32" t="s">
        <v>35</v>
      </c>
      <c r="B32" t="s">
        <v>28</v>
      </c>
      <c r="C32">
        <v>7</v>
      </c>
      <c r="D32" s="4">
        <v>805771</v>
      </c>
      <c r="E32" s="4">
        <v>-342878</v>
      </c>
      <c r="F32" s="4">
        <v>-228736</v>
      </c>
    </row>
    <row r="33" spans="1:6">
      <c r="A33" t="s">
        <v>35</v>
      </c>
      <c r="B33" t="s">
        <v>29</v>
      </c>
      <c r="C33">
        <v>8</v>
      </c>
      <c r="D33" s="4">
        <v>881512</v>
      </c>
      <c r="E33" s="4">
        <v>-363446</v>
      </c>
      <c r="F33" s="4">
        <v>-225788</v>
      </c>
    </row>
    <row r="34" spans="1:6">
      <c r="A34" t="s">
        <v>35</v>
      </c>
      <c r="B34" t="s">
        <v>30</v>
      </c>
      <c r="C34">
        <v>9</v>
      </c>
      <c r="D34" s="4">
        <v>805209</v>
      </c>
      <c r="E34" s="4">
        <v>-340019</v>
      </c>
      <c r="F34" s="4">
        <v>-243018</v>
      </c>
    </row>
    <row r="35" spans="1:6">
      <c r="A35" t="s">
        <v>35</v>
      </c>
      <c r="B35" t="s">
        <v>31</v>
      </c>
      <c r="C35">
        <v>10</v>
      </c>
      <c r="D35" s="4">
        <v>841342</v>
      </c>
      <c r="E35" s="4">
        <v>-350937</v>
      </c>
      <c r="F35" s="4">
        <v>-247440</v>
      </c>
    </row>
    <row r="36" spans="1:6">
      <c r="A36" t="s">
        <v>35</v>
      </c>
      <c r="B36" t="s">
        <v>32</v>
      </c>
      <c r="C36">
        <v>11</v>
      </c>
      <c r="D36" s="4">
        <v>826425</v>
      </c>
      <c r="E36" s="4">
        <v>-346822</v>
      </c>
      <c r="F36" s="4">
        <v>-247243</v>
      </c>
    </row>
    <row r="37" spans="1:6">
      <c r="A37" t="s">
        <v>35</v>
      </c>
      <c r="B37" t="s">
        <v>33</v>
      </c>
      <c r="C37">
        <v>12</v>
      </c>
      <c r="D37" s="4">
        <v>847440</v>
      </c>
      <c r="E37" s="4">
        <v>-366394</v>
      </c>
      <c r="F37" s="4">
        <v>-268470</v>
      </c>
    </row>
    <row r="38" spans="1:6">
      <c r="A38" t="s">
        <v>36</v>
      </c>
      <c r="B38" t="s">
        <v>22</v>
      </c>
      <c r="C38">
        <v>1</v>
      </c>
      <c r="D38" s="4">
        <v>779772</v>
      </c>
      <c r="E38" s="4">
        <v>-326581</v>
      </c>
      <c r="F38" s="4">
        <v>-205450</v>
      </c>
    </row>
    <row r="39" spans="1:6">
      <c r="A39" t="s">
        <v>36</v>
      </c>
      <c r="B39" t="s">
        <v>23</v>
      </c>
      <c r="C39">
        <v>2</v>
      </c>
      <c r="D39" s="4">
        <v>709151</v>
      </c>
      <c r="E39" s="4">
        <v>-286775</v>
      </c>
      <c r="F39" s="4">
        <v>-206821</v>
      </c>
    </row>
    <row r="40" spans="1:6">
      <c r="A40" t="s">
        <v>36</v>
      </c>
      <c r="B40" t="s">
        <v>24</v>
      </c>
      <c r="C40">
        <v>3</v>
      </c>
      <c r="D40" s="4">
        <v>768252</v>
      </c>
      <c r="E40" s="4">
        <v>-315472</v>
      </c>
      <c r="F40" s="4">
        <v>-220395</v>
      </c>
    </row>
    <row r="41" spans="1:6">
      <c r="A41" t="s">
        <v>36</v>
      </c>
      <c r="B41" t="s">
        <v>25</v>
      </c>
      <c r="C41">
        <v>4</v>
      </c>
      <c r="D41" s="4">
        <v>777856</v>
      </c>
      <c r="E41" s="4">
        <v>-313194</v>
      </c>
      <c r="F41" s="4">
        <v>-221019</v>
      </c>
    </row>
    <row r="42" spans="1:6">
      <c r="A42" t="s">
        <v>36</v>
      </c>
      <c r="B42" t="s">
        <v>26</v>
      </c>
      <c r="C42">
        <v>5</v>
      </c>
      <c r="D42" s="4">
        <v>873753</v>
      </c>
      <c r="E42" s="4">
        <v>-355168</v>
      </c>
      <c r="F42" s="4">
        <v>-240070</v>
      </c>
    </row>
    <row r="43" spans="1:6">
      <c r="A43" t="s">
        <v>36</v>
      </c>
      <c r="B43" t="s">
        <v>27</v>
      </c>
      <c r="C43">
        <v>6</v>
      </c>
      <c r="D43" s="4">
        <v>909703</v>
      </c>
      <c r="E43" s="4">
        <v>-365571</v>
      </c>
      <c r="F43" s="4">
        <v>-241558</v>
      </c>
    </row>
    <row r="44" spans="1:6">
      <c r="A44" t="s">
        <v>36</v>
      </c>
      <c r="B44" t="s">
        <v>28</v>
      </c>
      <c r="C44">
        <v>7</v>
      </c>
      <c r="D44" s="4">
        <v>816935</v>
      </c>
      <c r="E44" s="4">
        <v>-355929</v>
      </c>
      <c r="F44" s="4">
        <v>-248574</v>
      </c>
    </row>
    <row r="45" spans="1:6">
      <c r="A45" t="s">
        <v>36</v>
      </c>
      <c r="B45" t="s">
        <v>29</v>
      </c>
      <c r="C45">
        <v>8</v>
      </c>
      <c r="D45" s="4">
        <v>883451</v>
      </c>
      <c r="E45" s="4">
        <v>-358167</v>
      </c>
      <c r="F45" s="4">
        <v>-245580</v>
      </c>
    </row>
    <row r="46" spans="1:6">
      <c r="A46" t="s">
        <v>36</v>
      </c>
      <c r="B46" t="s">
        <v>30</v>
      </c>
      <c r="C46">
        <v>9</v>
      </c>
      <c r="D46" s="4">
        <v>933183</v>
      </c>
      <c r="E46" s="4">
        <v>-389734</v>
      </c>
      <c r="F46" s="4">
        <v>-255221</v>
      </c>
    </row>
    <row r="47" spans="1:6">
      <c r="A47" t="s">
        <v>36</v>
      </c>
      <c r="B47" t="s">
        <v>31</v>
      </c>
      <c r="C47">
        <v>10</v>
      </c>
      <c r="D47" s="4">
        <v>996128</v>
      </c>
      <c r="E47" s="4">
        <v>-402215</v>
      </c>
      <c r="F47" s="4">
        <v>-266089</v>
      </c>
    </row>
    <row r="48" spans="1:6">
      <c r="A48" t="s">
        <v>36</v>
      </c>
      <c r="B48" t="s">
        <v>32</v>
      </c>
      <c r="C48">
        <v>11</v>
      </c>
      <c r="D48" s="4">
        <v>974695</v>
      </c>
      <c r="E48" s="4">
        <v>-398292</v>
      </c>
      <c r="F48" s="4">
        <v>-270782</v>
      </c>
    </row>
    <row r="49" spans="1:6">
      <c r="A49" t="s">
        <v>36</v>
      </c>
      <c r="B49" t="s">
        <v>33</v>
      </c>
      <c r="C49">
        <v>12</v>
      </c>
      <c r="D49" s="4">
        <v>950151</v>
      </c>
      <c r="E49" s="4">
        <v>-395288</v>
      </c>
      <c r="F49" s="4">
        <v>-274971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F49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3" width="10.7109375" customWidth="1"/>
    <col min="4" max="6" width="16.7109375" customWidth="1"/>
  </cols>
  <sheetData>
    <row r="1" spans="1:6" ht="30" customHeight="1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</row>
    <row r="2" spans="1:6">
      <c r="A2" t="s">
        <v>21</v>
      </c>
      <c r="B2" t="s">
        <v>22</v>
      </c>
      <c r="C2">
        <v>1</v>
      </c>
      <c r="D2" s="4">
        <v>515000</v>
      </c>
      <c r="E2" s="4">
        <v>-216300</v>
      </c>
      <c r="F2" s="4">
        <v>-150000</v>
      </c>
    </row>
    <row r="3" spans="1:6">
      <c r="A3" t="s">
        <v>21</v>
      </c>
      <c r="B3" t="s">
        <v>23</v>
      </c>
      <c r="C3">
        <v>2</v>
      </c>
      <c r="D3" s="4">
        <v>537660</v>
      </c>
      <c r="E3" s="4">
        <v>-225817</v>
      </c>
      <c r="F3" s="4">
        <v>-157000</v>
      </c>
    </row>
    <row r="4" spans="1:6">
      <c r="A4" t="s">
        <v>21</v>
      </c>
      <c r="B4" t="s">
        <v>24</v>
      </c>
      <c r="C4">
        <v>3</v>
      </c>
      <c r="D4" s="4">
        <v>560320</v>
      </c>
      <c r="E4" s="4">
        <v>-235334</v>
      </c>
      <c r="F4" s="4">
        <v>-164000</v>
      </c>
    </row>
    <row r="5" spans="1:6">
      <c r="A5" t="s">
        <v>21</v>
      </c>
      <c r="B5" t="s">
        <v>25</v>
      </c>
      <c r="C5">
        <v>4</v>
      </c>
      <c r="D5" s="4">
        <v>582980</v>
      </c>
      <c r="E5" s="4">
        <v>-244852</v>
      </c>
      <c r="F5" s="4">
        <v>-171000</v>
      </c>
    </row>
    <row r="6" spans="1:6">
      <c r="A6" t="s">
        <v>21</v>
      </c>
      <c r="B6" t="s">
        <v>26</v>
      </c>
      <c r="C6">
        <v>5</v>
      </c>
      <c r="D6" s="4">
        <v>605640</v>
      </c>
      <c r="E6" s="4">
        <v>-254369</v>
      </c>
      <c r="F6" s="4">
        <v>-178000</v>
      </c>
    </row>
    <row r="7" spans="1:6">
      <c r="A7" t="s">
        <v>21</v>
      </c>
      <c r="B7" t="s">
        <v>27</v>
      </c>
      <c r="C7">
        <v>6</v>
      </c>
      <c r="D7" s="4">
        <v>628300</v>
      </c>
      <c r="E7" s="4">
        <v>-263886</v>
      </c>
      <c r="F7" s="4">
        <v>-185000</v>
      </c>
    </row>
    <row r="8" spans="1:6">
      <c r="A8" t="s">
        <v>21</v>
      </c>
      <c r="B8" t="s">
        <v>28</v>
      </c>
      <c r="C8">
        <v>7</v>
      </c>
      <c r="D8" s="4">
        <v>650960</v>
      </c>
      <c r="E8" s="4">
        <v>-273403</v>
      </c>
      <c r="F8" s="4">
        <v>-192000</v>
      </c>
    </row>
    <row r="9" spans="1:6">
      <c r="A9" t="s">
        <v>21</v>
      </c>
      <c r="B9" t="s">
        <v>29</v>
      </c>
      <c r="C9">
        <v>8</v>
      </c>
      <c r="D9" s="4">
        <v>673620</v>
      </c>
      <c r="E9" s="4">
        <v>-282920</v>
      </c>
      <c r="F9" s="4">
        <v>-199000</v>
      </c>
    </row>
    <row r="10" spans="1:6">
      <c r="A10" t="s">
        <v>21</v>
      </c>
      <c r="B10" t="s">
        <v>30</v>
      </c>
      <c r="C10">
        <v>9</v>
      </c>
      <c r="D10" s="4">
        <v>696280</v>
      </c>
      <c r="E10" s="4">
        <v>-292438</v>
      </c>
      <c r="F10" s="4">
        <v>-206000</v>
      </c>
    </row>
    <row r="11" spans="1:6">
      <c r="A11" t="s">
        <v>21</v>
      </c>
      <c r="B11" t="s">
        <v>31</v>
      </c>
      <c r="C11">
        <v>10</v>
      </c>
      <c r="D11" s="4">
        <v>718940</v>
      </c>
      <c r="E11" s="4">
        <v>-301955</v>
      </c>
      <c r="F11" s="4">
        <v>-213000</v>
      </c>
    </row>
    <row r="12" spans="1:6">
      <c r="A12" t="s">
        <v>21</v>
      </c>
      <c r="B12" t="s">
        <v>32</v>
      </c>
      <c r="C12">
        <v>11</v>
      </c>
      <c r="D12" s="4">
        <v>741600</v>
      </c>
      <c r="E12" s="4">
        <v>-311472</v>
      </c>
      <c r="F12" s="4">
        <v>-220000</v>
      </c>
    </row>
    <row r="13" spans="1:6">
      <c r="A13" t="s">
        <v>21</v>
      </c>
      <c r="B13" t="s">
        <v>33</v>
      </c>
      <c r="C13">
        <v>12</v>
      </c>
      <c r="D13" s="4">
        <v>764260</v>
      </c>
      <c r="E13" s="4">
        <v>-320989</v>
      </c>
      <c r="F13" s="4">
        <v>-227000</v>
      </c>
    </row>
    <row r="14" spans="1:6">
      <c r="A14" t="s">
        <v>34</v>
      </c>
      <c r="B14" t="s">
        <v>22</v>
      </c>
      <c r="C14">
        <v>1</v>
      </c>
      <c r="D14" s="4">
        <v>597400</v>
      </c>
      <c r="E14" s="4">
        <v>-250908</v>
      </c>
      <c r="F14" s="4">
        <v>-168000</v>
      </c>
    </row>
    <row r="15" spans="1:6">
      <c r="A15" t="s">
        <v>34</v>
      </c>
      <c r="B15" t="s">
        <v>23</v>
      </c>
      <c r="C15">
        <v>2</v>
      </c>
      <c r="D15" s="4">
        <v>620060</v>
      </c>
      <c r="E15" s="4">
        <v>-260425</v>
      </c>
      <c r="F15" s="4">
        <v>-175000</v>
      </c>
    </row>
    <row r="16" spans="1:6">
      <c r="A16" t="s">
        <v>34</v>
      </c>
      <c r="B16" t="s">
        <v>24</v>
      </c>
      <c r="C16">
        <v>3</v>
      </c>
      <c r="D16" s="4">
        <v>642720</v>
      </c>
      <c r="E16" s="4">
        <v>-269942</v>
      </c>
      <c r="F16" s="4">
        <v>-182000</v>
      </c>
    </row>
    <row r="17" spans="1:6">
      <c r="A17" t="s">
        <v>34</v>
      </c>
      <c r="B17" t="s">
        <v>25</v>
      </c>
      <c r="C17">
        <v>4</v>
      </c>
      <c r="D17" s="4">
        <v>665380</v>
      </c>
      <c r="E17" s="4">
        <v>-279460</v>
      </c>
      <c r="F17" s="4">
        <v>-189000</v>
      </c>
    </row>
    <row r="18" spans="1:6">
      <c r="A18" t="s">
        <v>34</v>
      </c>
      <c r="B18" t="s">
        <v>26</v>
      </c>
      <c r="C18">
        <v>5</v>
      </c>
      <c r="D18" s="4">
        <v>688040</v>
      </c>
      <c r="E18" s="4">
        <v>-288977</v>
      </c>
      <c r="F18" s="4">
        <v>-196000</v>
      </c>
    </row>
    <row r="19" spans="1:6">
      <c r="A19" t="s">
        <v>34</v>
      </c>
      <c r="B19" t="s">
        <v>27</v>
      </c>
      <c r="C19">
        <v>6</v>
      </c>
      <c r="D19" s="4">
        <v>710700</v>
      </c>
      <c r="E19" s="4">
        <v>-298494</v>
      </c>
      <c r="F19" s="4">
        <v>-203000</v>
      </c>
    </row>
    <row r="20" spans="1:6">
      <c r="A20" t="s">
        <v>34</v>
      </c>
      <c r="B20" t="s">
        <v>28</v>
      </c>
      <c r="C20">
        <v>7</v>
      </c>
      <c r="D20" s="4">
        <v>733360</v>
      </c>
      <c r="E20" s="4">
        <v>-308011</v>
      </c>
      <c r="F20" s="4">
        <v>-210000</v>
      </c>
    </row>
    <row r="21" spans="1:6">
      <c r="A21" t="s">
        <v>34</v>
      </c>
      <c r="B21" t="s">
        <v>29</v>
      </c>
      <c r="C21">
        <v>8</v>
      </c>
      <c r="D21" s="4">
        <v>756020</v>
      </c>
      <c r="E21" s="4">
        <v>-317528</v>
      </c>
      <c r="F21" s="4">
        <v>-217000</v>
      </c>
    </row>
    <row r="22" spans="1:6">
      <c r="A22" t="s">
        <v>34</v>
      </c>
      <c r="B22" t="s">
        <v>30</v>
      </c>
      <c r="C22">
        <v>9</v>
      </c>
      <c r="D22" s="4">
        <v>778680</v>
      </c>
      <c r="E22" s="4">
        <v>-327046</v>
      </c>
      <c r="F22" s="4">
        <v>-224000</v>
      </c>
    </row>
    <row r="23" spans="1:6">
      <c r="A23" t="s">
        <v>34</v>
      </c>
      <c r="B23" t="s">
        <v>31</v>
      </c>
      <c r="C23">
        <v>10</v>
      </c>
      <c r="D23" s="4">
        <v>801340</v>
      </c>
      <c r="E23" s="4">
        <v>-336563</v>
      </c>
      <c r="F23" s="4">
        <v>-231000</v>
      </c>
    </row>
    <row r="24" spans="1:6">
      <c r="A24" t="s">
        <v>34</v>
      </c>
      <c r="B24" t="s">
        <v>32</v>
      </c>
      <c r="C24">
        <v>11</v>
      </c>
      <c r="D24" s="4">
        <v>824000</v>
      </c>
      <c r="E24" s="4">
        <v>-346080</v>
      </c>
      <c r="F24" s="4">
        <v>-238000</v>
      </c>
    </row>
    <row r="25" spans="1:6">
      <c r="A25" t="s">
        <v>34</v>
      </c>
      <c r="B25" t="s">
        <v>33</v>
      </c>
      <c r="C25">
        <v>12</v>
      </c>
      <c r="D25" s="4">
        <v>846660</v>
      </c>
      <c r="E25" s="4">
        <v>-355597</v>
      </c>
      <c r="F25" s="4">
        <v>-245000</v>
      </c>
    </row>
    <row r="26" spans="1:6">
      <c r="A26" t="s">
        <v>35</v>
      </c>
      <c r="B26" t="s">
        <v>22</v>
      </c>
      <c r="C26">
        <v>1</v>
      </c>
      <c r="D26" s="4">
        <v>679800</v>
      </c>
      <c r="E26" s="4">
        <v>-285516</v>
      </c>
      <c r="F26" s="4">
        <v>-186000</v>
      </c>
    </row>
    <row r="27" spans="1:6">
      <c r="A27" t="s">
        <v>35</v>
      </c>
      <c r="B27" t="s">
        <v>23</v>
      </c>
      <c r="C27">
        <v>2</v>
      </c>
      <c r="D27" s="4">
        <v>702460</v>
      </c>
      <c r="E27" s="4">
        <v>-295033</v>
      </c>
      <c r="F27" s="4">
        <v>-193000</v>
      </c>
    </row>
    <row r="28" spans="1:6">
      <c r="A28" t="s">
        <v>35</v>
      </c>
      <c r="B28" t="s">
        <v>24</v>
      </c>
      <c r="C28">
        <v>3</v>
      </c>
      <c r="D28" s="4">
        <v>725120</v>
      </c>
      <c r="E28" s="4">
        <v>-304550</v>
      </c>
      <c r="F28" s="4">
        <v>-200000</v>
      </c>
    </row>
    <row r="29" spans="1:6">
      <c r="A29" t="s">
        <v>35</v>
      </c>
      <c r="B29" t="s">
        <v>25</v>
      </c>
      <c r="C29">
        <v>4</v>
      </c>
      <c r="D29" s="4">
        <v>747780</v>
      </c>
      <c r="E29" s="4">
        <v>-314068</v>
      </c>
      <c r="F29" s="4">
        <v>-207000</v>
      </c>
    </row>
    <row r="30" spans="1:6">
      <c r="A30" t="s">
        <v>35</v>
      </c>
      <c r="B30" t="s">
        <v>26</v>
      </c>
      <c r="C30">
        <v>5</v>
      </c>
      <c r="D30" s="4">
        <v>770440</v>
      </c>
      <c r="E30" s="4">
        <v>-323585</v>
      </c>
      <c r="F30" s="4">
        <v>-214000</v>
      </c>
    </row>
    <row r="31" spans="1:6">
      <c r="A31" t="s">
        <v>35</v>
      </c>
      <c r="B31" t="s">
        <v>27</v>
      </c>
      <c r="C31">
        <v>6</v>
      </c>
      <c r="D31" s="4">
        <v>793100</v>
      </c>
      <c r="E31" s="4">
        <v>-333102</v>
      </c>
      <c r="F31" s="4">
        <v>-221000</v>
      </c>
    </row>
    <row r="32" spans="1:6">
      <c r="A32" t="s">
        <v>35</v>
      </c>
      <c r="B32" t="s">
        <v>28</v>
      </c>
      <c r="C32">
        <v>7</v>
      </c>
      <c r="D32" s="4">
        <v>815760</v>
      </c>
      <c r="E32" s="4">
        <v>-342619</v>
      </c>
      <c r="F32" s="4">
        <v>-228000</v>
      </c>
    </row>
    <row r="33" spans="1:6">
      <c r="A33" t="s">
        <v>35</v>
      </c>
      <c r="B33" t="s">
        <v>29</v>
      </c>
      <c r="C33">
        <v>8</v>
      </c>
      <c r="D33" s="4">
        <v>838420</v>
      </c>
      <c r="E33" s="4">
        <v>-352136</v>
      </c>
      <c r="F33" s="4">
        <v>-235000</v>
      </c>
    </row>
    <row r="34" spans="1:6">
      <c r="A34" t="s">
        <v>35</v>
      </c>
      <c r="B34" t="s">
        <v>30</v>
      </c>
      <c r="C34">
        <v>9</v>
      </c>
      <c r="D34" s="4">
        <v>861080</v>
      </c>
      <c r="E34" s="4">
        <v>-361654</v>
      </c>
      <c r="F34" s="4">
        <v>-242000</v>
      </c>
    </row>
    <row r="35" spans="1:6">
      <c r="A35" t="s">
        <v>35</v>
      </c>
      <c r="B35" t="s">
        <v>31</v>
      </c>
      <c r="C35">
        <v>10</v>
      </c>
      <c r="D35" s="4">
        <v>883740</v>
      </c>
      <c r="E35" s="4">
        <v>-371171</v>
      </c>
      <c r="F35" s="4">
        <v>-249000</v>
      </c>
    </row>
    <row r="36" spans="1:6">
      <c r="A36" t="s">
        <v>35</v>
      </c>
      <c r="B36" t="s">
        <v>32</v>
      </c>
      <c r="C36">
        <v>11</v>
      </c>
      <c r="D36" s="4">
        <v>906400</v>
      </c>
      <c r="E36" s="4">
        <v>-380688</v>
      </c>
      <c r="F36" s="4">
        <v>-256000</v>
      </c>
    </row>
    <row r="37" spans="1:6">
      <c r="A37" t="s">
        <v>35</v>
      </c>
      <c r="B37" t="s">
        <v>33</v>
      </c>
      <c r="C37">
        <v>12</v>
      </c>
      <c r="D37" s="4">
        <v>929060</v>
      </c>
      <c r="E37" s="4">
        <v>-390205</v>
      </c>
      <c r="F37" s="4">
        <v>-263000</v>
      </c>
    </row>
    <row r="38" spans="1:6">
      <c r="A38" t="s">
        <v>36</v>
      </c>
      <c r="B38" t="s">
        <v>22</v>
      </c>
      <c r="C38">
        <v>1</v>
      </c>
      <c r="D38" s="4">
        <v>762200</v>
      </c>
      <c r="E38" s="4">
        <v>-320124</v>
      </c>
      <c r="F38" s="4">
        <v>-204000</v>
      </c>
    </row>
    <row r="39" spans="1:6">
      <c r="A39" t="s">
        <v>36</v>
      </c>
      <c r="B39" t="s">
        <v>23</v>
      </c>
      <c r="C39">
        <v>2</v>
      </c>
      <c r="D39" s="4">
        <v>784860</v>
      </c>
      <c r="E39" s="4">
        <v>-329641</v>
      </c>
      <c r="F39" s="4">
        <v>-211000</v>
      </c>
    </row>
    <row r="40" spans="1:6">
      <c r="A40" t="s">
        <v>36</v>
      </c>
      <c r="B40" t="s">
        <v>24</v>
      </c>
      <c r="C40">
        <v>3</v>
      </c>
      <c r="D40" s="4">
        <v>807520</v>
      </c>
      <c r="E40" s="4">
        <v>-339158</v>
      </c>
      <c r="F40" s="4">
        <v>-218000</v>
      </c>
    </row>
    <row r="41" spans="1:6">
      <c r="A41" t="s">
        <v>36</v>
      </c>
      <c r="B41" t="s">
        <v>25</v>
      </c>
      <c r="C41">
        <v>4</v>
      </c>
      <c r="D41" s="4">
        <v>830180</v>
      </c>
      <c r="E41" s="4">
        <v>-348676</v>
      </c>
      <c r="F41" s="4">
        <v>-225000</v>
      </c>
    </row>
    <row r="42" spans="1:6">
      <c r="A42" t="s">
        <v>36</v>
      </c>
      <c r="B42" t="s">
        <v>26</v>
      </c>
      <c r="C42">
        <v>5</v>
      </c>
      <c r="D42" s="4">
        <v>852840</v>
      </c>
      <c r="E42" s="4">
        <v>-358193</v>
      </c>
      <c r="F42" s="4">
        <v>-232000</v>
      </c>
    </row>
    <row r="43" spans="1:6">
      <c r="A43" t="s">
        <v>36</v>
      </c>
      <c r="B43" t="s">
        <v>27</v>
      </c>
      <c r="C43">
        <v>6</v>
      </c>
      <c r="D43" s="4">
        <v>875500</v>
      </c>
      <c r="E43" s="4">
        <v>-367710</v>
      </c>
      <c r="F43" s="4">
        <v>-239000</v>
      </c>
    </row>
    <row r="44" spans="1:6">
      <c r="A44" t="s">
        <v>36</v>
      </c>
      <c r="B44" t="s">
        <v>28</v>
      </c>
      <c r="C44">
        <v>7</v>
      </c>
      <c r="D44" s="4">
        <v>898160</v>
      </c>
      <c r="E44" s="4">
        <v>-377227</v>
      </c>
      <c r="F44" s="4">
        <v>-246000</v>
      </c>
    </row>
    <row r="45" spans="1:6">
      <c r="A45" t="s">
        <v>36</v>
      </c>
      <c r="B45" t="s">
        <v>29</v>
      </c>
      <c r="C45">
        <v>8</v>
      </c>
      <c r="D45" s="4">
        <v>920820</v>
      </c>
      <c r="E45" s="4">
        <v>-386744</v>
      </c>
      <c r="F45" s="4">
        <v>-253000</v>
      </c>
    </row>
    <row r="46" spans="1:6">
      <c r="A46" t="s">
        <v>36</v>
      </c>
      <c r="B46" t="s">
        <v>30</v>
      </c>
      <c r="C46">
        <v>9</v>
      </c>
      <c r="D46" s="4">
        <v>943480</v>
      </c>
      <c r="E46" s="4">
        <v>-396262</v>
      </c>
      <c r="F46" s="4">
        <v>-260000</v>
      </c>
    </row>
    <row r="47" spans="1:6">
      <c r="A47" t="s">
        <v>36</v>
      </c>
      <c r="B47" t="s">
        <v>31</v>
      </c>
      <c r="C47">
        <v>10</v>
      </c>
      <c r="D47" s="4">
        <v>966140</v>
      </c>
      <c r="E47" s="4">
        <v>-405779</v>
      </c>
      <c r="F47" s="4">
        <v>-267000</v>
      </c>
    </row>
    <row r="48" spans="1:6">
      <c r="A48" t="s">
        <v>36</v>
      </c>
      <c r="B48" t="s">
        <v>32</v>
      </c>
      <c r="C48">
        <v>11</v>
      </c>
      <c r="D48" s="4">
        <v>988800</v>
      </c>
      <c r="E48" s="4">
        <v>-415296</v>
      </c>
      <c r="F48" s="4">
        <v>-274000</v>
      </c>
    </row>
    <row r="49" spans="1:6">
      <c r="A49" t="s">
        <v>36</v>
      </c>
      <c r="B49" t="s">
        <v>33</v>
      </c>
      <c r="C49">
        <v>12</v>
      </c>
      <c r="D49" s="4">
        <v>1011460</v>
      </c>
      <c r="E49" s="4">
        <v>-424813</v>
      </c>
      <c r="F49" s="4">
        <v>-281000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C10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32.7109375" customWidth="1"/>
    <col min="2" max="2" width="18.7109375" customWidth="1"/>
    <col min="3" max="3" width="20.7109375" customWidth="1"/>
  </cols>
  <sheetData>
    <row r="1" spans="1:3" ht="30" customHeight="1">
      <c r="A1" s="1" t="s">
        <v>37</v>
      </c>
    </row>
    <row r="3" spans="1:3">
      <c r="A3" s="5" t="s">
        <v>38</v>
      </c>
      <c r="B3" s="5" t="s">
        <v>39</v>
      </c>
      <c r="C3" s="5" t="s">
        <v>40</v>
      </c>
    </row>
    <row r="4" spans="1:3">
      <c r="A4" s="6" t="s">
        <v>41</v>
      </c>
      <c r="B4" s="7">
        <v>0.06</v>
      </c>
      <c r="C4" s="6" t="s">
        <v>42</v>
      </c>
    </row>
    <row r="5" spans="1:3">
      <c r="A5" s="6" t="s">
        <v>43</v>
      </c>
      <c r="B5" s="7">
        <v>-0.03</v>
      </c>
      <c r="C5" s="6" t="s">
        <v>42</v>
      </c>
    </row>
    <row r="6" spans="1:3">
      <c r="A6" s="6" t="s">
        <v>44</v>
      </c>
      <c r="B6" s="7">
        <v>0.41</v>
      </c>
      <c r="C6" s="6" t="s">
        <v>42</v>
      </c>
    </row>
    <row r="7" spans="1:3">
      <c r="A7" s="6" t="s">
        <v>45</v>
      </c>
      <c r="B7" s="7">
        <v>0.45</v>
      </c>
      <c r="C7" s="6" t="s">
        <v>42</v>
      </c>
    </row>
    <row r="8" spans="1:3">
      <c r="A8" s="6" t="s">
        <v>46</v>
      </c>
      <c r="B8" s="7">
        <v>0.04</v>
      </c>
      <c r="C8" s="6" t="s">
        <v>42</v>
      </c>
    </row>
    <row r="9" spans="1:3">
      <c r="A9" s="6" t="s">
        <v>47</v>
      </c>
      <c r="B9" s="7">
        <v>0.08</v>
      </c>
      <c r="C9" s="6" t="s">
        <v>42</v>
      </c>
    </row>
    <row r="10" spans="1:3">
      <c r="A10" s="6" t="s">
        <v>48</v>
      </c>
      <c r="B10" s="7">
        <v>0.1</v>
      </c>
      <c r="C10" s="6" t="s">
        <v>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49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0.7109375" customWidth="1"/>
    <col min="3" max="10" width="16.7109375" customWidth="1"/>
  </cols>
  <sheetData>
    <row r="1" spans="1:10" ht="30" customHeight="1">
      <c r="A1" t="s">
        <v>15</v>
      </c>
      <c r="B1" t="s">
        <v>16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</row>
    <row r="2" spans="1:10">
      <c r="A2" s="6" t="s">
        <v>21</v>
      </c>
      <c r="B2" s="6" t="s">
        <v>22</v>
      </c>
      <c r="C2" s="6"/>
      <c r="D2" s="6"/>
      <c r="E2" s="6"/>
      <c r="F2" s="6"/>
      <c r="G2" s="6"/>
      <c r="H2" s="6"/>
      <c r="I2" s="6"/>
      <c r="J2" s="6"/>
    </row>
    <row r="3" spans="1:10">
      <c r="A3" s="6" t="s">
        <v>21</v>
      </c>
      <c r="B3" s="6" t="s">
        <v>23</v>
      </c>
      <c r="C3" s="6"/>
      <c r="D3" s="6"/>
      <c r="E3" s="6"/>
      <c r="F3" s="6"/>
      <c r="G3" s="6"/>
      <c r="H3" s="6"/>
      <c r="I3" s="6"/>
      <c r="J3" s="6"/>
    </row>
    <row r="4" spans="1:10">
      <c r="A4" s="6" t="s">
        <v>21</v>
      </c>
      <c r="B4" s="6" t="s">
        <v>24</v>
      </c>
      <c r="C4" s="6"/>
      <c r="D4" s="6"/>
      <c r="E4" s="6"/>
      <c r="F4" s="6"/>
      <c r="G4" s="6"/>
      <c r="H4" s="6"/>
      <c r="I4" s="6"/>
      <c r="J4" s="6"/>
    </row>
    <row r="5" spans="1:10">
      <c r="A5" s="6" t="s">
        <v>21</v>
      </c>
      <c r="B5" s="6" t="s">
        <v>25</v>
      </c>
      <c r="C5" s="6"/>
      <c r="D5" s="6"/>
      <c r="E5" s="6"/>
      <c r="F5" s="6"/>
      <c r="G5" s="6"/>
      <c r="H5" s="6"/>
      <c r="I5" s="6"/>
      <c r="J5" s="6"/>
    </row>
    <row r="6" spans="1:10">
      <c r="A6" s="6" t="s">
        <v>21</v>
      </c>
      <c r="B6" s="6" t="s">
        <v>26</v>
      </c>
      <c r="C6" s="6"/>
      <c r="D6" s="6"/>
      <c r="E6" s="6"/>
      <c r="F6" s="6"/>
      <c r="G6" s="6"/>
      <c r="H6" s="6"/>
      <c r="I6" s="6"/>
      <c r="J6" s="6"/>
    </row>
    <row r="7" spans="1:10">
      <c r="A7" s="6" t="s">
        <v>21</v>
      </c>
      <c r="B7" s="6" t="s">
        <v>27</v>
      </c>
      <c r="C7" s="6"/>
      <c r="D7" s="6"/>
      <c r="E7" s="6"/>
      <c r="F7" s="6"/>
      <c r="G7" s="6"/>
      <c r="H7" s="6"/>
      <c r="I7" s="6"/>
      <c r="J7" s="6"/>
    </row>
    <row r="8" spans="1:10">
      <c r="A8" s="6" t="s">
        <v>21</v>
      </c>
      <c r="B8" s="6" t="s">
        <v>28</v>
      </c>
      <c r="C8" s="6"/>
      <c r="D8" s="6"/>
      <c r="E8" s="6"/>
      <c r="F8" s="6"/>
      <c r="G8" s="6"/>
      <c r="H8" s="6"/>
      <c r="I8" s="6"/>
      <c r="J8" s="6"/>
    </row>
    <row r="9" spans="1:10">
      <c r="A9" s="6" t="s">
        <v>21</v>
      </c>
      <c r="B9" s="6" t="s">
        <v>29</v>
      </c>
      <c r="C9" s="6"/>
      <c r="D9" s="6"/>
      <c r="E9" s="6"/>
      <c r="F9" s="6"/>
      <c r="G9" s="6"/>
      <c r="H9" s="6"/>
      <c r="I9" s="6"/>
      <c r="J9" s="6"/>
    </row>
    <row r="10" spans="1:10">
      <c r="A10" s="6" t="s">
        <v>21</v>
      </c>
      <c r="B10" s="6" t="s">
        <v>30</v>
      </c>
      <c r="C10" s="6"/>
      <c r="D10" s="6"/>
      <c r="E10" s="6"/>
      <c r="F10" s="6"/>
      <c r="G10" s="6"/>
      <c r="H10" s="6"/>
      <c r="I10" s="6"/>
      <c r="J10" s="6"/>
    </row>
    <row r="11" spans="1:10">
      <c r="A11" s="6" t="s">
        <v>21</v>
      </c>
      <c r="B11" s="6" t="s">
        <v>31</v>
      </c>
      <c r="C11" s="6"/>
      <c r="D11" s="6"/>
      <c r="E11" s="6"/>
      <c r="F11" s="6"/>
      <c r="G11" s="6"/>
      <c r="H11" s="6"/>
      <c r="I11" s="6"/>
      <c r="J11" s="6"/>
    </row>
    <row r="12" spans="1:10">
      <c r="A12" s="6" t="s">
        <v>21</v>
      </c>
      <c r="B12" s="6" t="s">
        <v>32</v>
      </c>
      <c r="C12" s="6"/>
      <c r="D12" s="6"/>
      <c r="E12" s="6"/>
      <c r="F12" s="6"/>
      <c r="G12" s="6"/>
      <c r="H12" s="6"/>
      <c r="I12" s="6"/>
      <c r="J12" s="6"/>
    </row>
    <row r="13" spans="1:10">
      <c r="A13" s="6" t="s">
        <v>21</v>
      </c>
      <c r="B13" s="6" t="s">
        <v>33</v>
      </c>
      <c r="C13" s="6"/>
      <c r="D13" s="6"/>
      <c r="E13" s="6"/>
      <c r="F13" s="6"/>
      <c r="G13" s="6"/>
      <c r="H13" s="6"/>
      <c r="I13" s="6"/>
      <c r="J13" s="6"/>
    </row>
    <row r="14" spans="1:10">
      <c r="A14" s="6" t="s">
        <v>34</v>
      </c>
      <c r="B14" s="6" t="s">
        <v>22</v>
      </c>
      <c r="C14" s="6"/>
      <c r="D14" s="6"/>
      <c r="E14" s="6"/>
      <c r="F14" s="6"/>
      <c r="G14" s="6"/>
      <c r="H14" s="6"/>
      <c r="I14" s="6"/>
      <c r="J14" s="6"/>
    </row>
    <row r="15" spans="1:10">
      <c r="A15" s="6" t="s">
        <v>34</v>
      </c>
      <c r="B15" s="6" t="s">
        <v>23</v>
      </c>
      <c r="C15" s="6"/>
      <c r="D15" s="6"/>
      <c r="E15" s="6"/>
      <c r="F15" s="6"/>
      <c r="G15" s="6"/>
      <c r="H15" s="6"/>
      <c r="I15" s="6"/>
      <c r="J15" s="6"/>
    </row>
    <row r="16" spans="1:10">
      <c r="A16" s="6" t="s">
        <v>34</v>
      </c>
      <c r="B16" s="6" t="s">
        <v>24</v>
      </c>
      <c r="C16" s="6"/>
      <c r="D16" s="6"/>
      <c r="E16" s="6"/>
      <c r="F16" s="6"/>
      <c r="G16" s="6"/>
      <c r="H16" s="6"/>
      <c r="I16" s="6"/>
      <c r="J16" s="6"/>
    </row>
    <row r="17" spans="1:10">
      <c r="A17" s="6" t="s">
        <v>34</v>
      </c>
      <c r="B17" s="6" t="s">
        <v>25</v>
      </c>
      <c r="C17" s="6"/>
      <c r="D17" s="6"/>
      <c r="E17" s="6"/>
      <c r="F17" s="6"/>
      <c r="G17" s="6"/>
      <c r="H17" s="6"/>
      <c r="I17" s="6"/>
      <c r="J17" s="6"/>
    </row>
    <row r="18" spans="1:10">
      <c r="A18" s="6" t="s">
        <v>34</v>
      </c>
      <c r="B18" s="6" t="s">
        <v>26</v>
      </c>
      <c r="C18" s="6"/>
      <c r="D18" s="6"/>
      <c r="E18" s="6"/>
      <c r="F18" s="6"/>
      <c r="G18" s="6"/>
      <c r="H18" s="6"/>
      <c r="I18" s="6"/>
      <c r="J18" s="6"/>
    </row>
    <row r="19" spans="1:10">
      <c r="A19" s="6" t="s">
        <v>34</v>
      </c>
      <c r="B19" s="6" t="s">
        <v>27</v>
      </c>
      <c r="C19" s="6"/>
      <c r="D19" s="6"/>
      <c r="E19" s="6"/>
      <c r="F19" s="6"/>
      <c r="G19" s="6"/>
      <c r="H19" s="6"/>
      <c r="I19" s="6"/>
      <c r="J19" s="6"/>
    </row>
    <row r="20" spans="1:10">
      <c r="A20" s="6" t="s">
        <v>34</v>
      </c>
      <c r="B20" s="6" t="s">
        <v>28</v>
      </c>
      <c r="C20" s="6"/>
      <c r="D20" s="6"/>
      <c r="E20" s="6"/>
      <c r="F20" s="6"/>
      <c r="G20" s="6"/>
      <c r="H20" s="6"/>
      <c r="I20" s="6"/>
      <c r="J20" s="6"/>
    </row>
    <row r="21" spans="1:10">
      <c r="A21" s="6" t="s">
        <v>34</v>
      </c>
      <c r="B21" s="6" t="s">
        <v>29</v>
      </c>
      <c r="C21" s="6"/>
      <c r="D21" s="6"/>
      <c r="E21" s="6"/>
      <c r="F21" s="6"/>
      <c r="G21" s="6"/>
      <c r="H21" s="6"/>
      <c r="I21" s="6"/>
      <c r="J21" s="6"/>
    </row>
    <row r="22" spans="1:10">
      <c r="A22" s="6" t="s">
        <v>34</v>
      </c>
      <c r="B22" s="6" t="s">
        <v>30</v>
      </c>
      <c r="C22" s="6"/>
      <c r="D22" s="6"/>
      <c r="E22" s="6"/>
      <c r="F22" s="6"/>
      <c r="G22" s="6"/>
      <c r="H22" s="6"/>
      <c r="I22" s="6"/>
      <c r="J22" s="6"/>
    </row>
    <row r="23" spans="1:10">
      <c r="A23" s="6" t="s">
        <v>34</v>
      </c>
      <c r="B23" s="6" t="s">
        <v>31</v>
      </c>
      <c r="C23" s="6"/>
      <c r="D23" s="6"/>
      <c r="E23" s="6"/>
      <c r="F23" s="6"/>
      <c r="G23" s="6"/>
      <c r="H23" s="6"/>
      <c r="I23" s="6"/>
      <c r="J23" s="6"/>
    </row>
    <row r="24" spans="1:10">
      <c r="A24" s="6" t="s">
        <v>34</v>
      </c>
      <c r="B24" s="6" t="s">
        <v>32</v>
      </c>
      <c r="C24" s="6"/>
      <c r="D24" s="6"/>
      <c r="E24" s="6"/>
      <c r="F24" s="6"/>
      <c r="G24" s="6"/>
      <c r="H24" s="6"/>
      <c r="I24" s="6"/>
      <c r="J24" s="6"/>
    </row>
    <row r="25" spans="1:10">
      <c r="A25" s="6" t="s">
        <v>34</v>
      </c>
      <c r="B25" s="6" t="s">
        <v>33</v>
      </c>
      <c r="C25" s="6"/>
      <c r="D25" s="6"/>
      <c r="E25" s="6"/>
      <c r="F25" s="6"/>
      <c r="G25" s="6"/>
      <c r="H25" s="6"/>
      <c r="I25" s="6"/>
      <c r="J25" s="6"/>
    </row>
    <row r="26" spans="1:10">
      <c r="A26" s="6" t="s">
        <v>35</v>
      </c>
      <c r="B26" s="6" t="s">
        <v>22</v>
      </c>
      <c r="C26" s="6"/>
      <c r="D26" s="6"/>
      <c r="E26" s="6"/>
      <c r="F26" s="6"/>
      <c r="G26" s="6"/>
      <c r="H26" s="6"/>
      <c r="I26" s="6"/>
      <c r="J26" s="6"/>
    </row>
    <row r="27" spans="1:10">
      <c r="A27" s="6" t="s">
        <v>35</v>
      </c>
      <c r="B27" s="6" t="s">
        <v>23</v>
      </c>
      <c r="C27" s="6"/>
      <c r="D27" s="6"/>
      <c r="E27" s="6"/>
      <c r="F27" s="6"/>
      <c r="G27" s="6"/>
      <c r="H27" s="6"/>
      <c r="I27" s="6"/>
      <c r="J27" s="6"/>
    </row>
    <row r="28" spans="1:10">
      <c r="A28" s="6" t="s">
        <v>35</v>
      </c>
      <c r="B28" s="6" t="s">
        <v>24</v>
      </c>
      <c r="C28" s="6"/>
      <c r="D28" s="6"/>
      <c r="E28" s="6"/>
      <c r="F28" s="6"/>
      <c r="G28" s="6"/>
      <c r="H28" s="6"/>
      <c r="I28" s="6"/>
      <c r="J28" s="6"/>
    </row>
    <row r="29" spans="1:10">
      <c r="A29" s="6" t="s">
        <v>35</v>
      </c>
      <c r="B29" s="6" t="s">
        <v>25</v>
      </c>
      <c r="C29" s="6"/>
      <c r="D29" s="6"/>
      <c r="E29" s="6"/>
      <c r="F29" s="6"/>
      <c r="G29" s="6"/>
      <c r="H29" s="6"/>
      <c r="I29" s="6"/>
      <c r="J29" s="6"/>
    </row>
    <row r="30" spans="1:10">
      <c r="A30" s="6" t="s">
        <v>35</v>
      </c>
      <c r="B30" s="6" t="s">
        <v>26</v>
      </c>
      <c r="C30" s="6"/>
      <c r="D30" s="6"/>
      <c r="E30" s="6"/>
      <c r="F30" s="6"/>
      <c r="G30" s="6"/>
      <c r="H30" s="6"/>
      <c r="I30" s="6"/>
      <c r="J30" s="6"/>
    </row>
    <row r="31" spans="1:10">
      <c r="A31" s="6" t="s">
        <v>35</v>
      </c>
      <c r="B31" s="6" t="s">
        <v>27</v>
      </c>
      <c r="C31" s="6"/>
      <c r="D31" s="6"/>
      <c r="E31" s="6"/>
      <c r="F31" s="6"/>
      <c r="G31" s="6"/>
      <c r="H31" s="6"/>
      <c r="I31" s="6"/>
      <c r="J31" s="6"/>
    </row>
    <row r="32" spans="1:10">
      <c r="A32" s="6" t="s">
        <v>35</v>
      </c>
      <c r="B32" s="6" t="s">
        <v>28</v>
      </c>
      <c r="C32" s="6"/>
      <c r="D32" s="6"/>
      <c r="E32" s="6"/>
      <c r="F32" s="6"/>
      <c r="G32" s="6"/>
      <c r="H32" s="6"/>
      <c r="I32" s="6"/>
      <c r="J32" s="6"/>
    </row>
    <row r="33" spans="1:10">
      <c r="A33" s="6" t="s">
        <v>35</v>
      </c>
      <c r="B33" s="6" t="s">
        <v>29</v>
      </c>
      <c r="C33" s="6"/>
      <c r="D33" s="6"/>
      <c r="E33" s="6"/>
      <c r="F33" s="6"/>
      <c r="G33" s="6"/>
      <c r="H33" s="6"/>
      <c r="I33" s="6"/>
      <c r="J33" s="6"/>
    </row>
    <row r="34" spans="1:10">
      <c r="A34" s="6" t="s">
        <v>35</v>
      </c>
      <c r="B34" s="6" t="s">
        <v>30</v>
      </c>
      <c r="C34" s="6"/>
      <c r="D34" s="6"/>
      <c r="E34" s="6"/>
      <c r="F34" s="6"/>
      <c r="G34" s="6"/>
      <c r="H34" s="6"/>
      <c r="I34" s="6"/>
      <c r="J34" s="6"/>
    </row>
    <row r="35" spans="1:10">
      <c r="A35" s="6" t="s">
        <v>35</v>
      </c>
      <c r="B35" s="6" t="s">
        <v>31</v>
      </c>
      <c r="C35" s="6"/>
      <c r="D35" s="6"/>
      <c r="E35" s="6"/>
      <c r="F35" s="6"/>
      <c r="G35" s="6"/>
      <c r="H35" s="6"/>
      <c r="I35" s="6"/>
      <c r="J35" s="6"/>
    </row>
    <row r="36" spans="1:10">
      <c r="A36" s="6" t="s">
        <v>35</v>
      </c>
      <c r="B36" s="6" t="s">
        <v>32</v>
      </c>
      <c r="C36" s="6"/>
      <c r="D36" s="6"/>
      <c r="E36" s="6"/>
      <c r="F36" s="6"/>
      <c r="G36" s="6"/>
      <c r="H36" s="6"/>
      <c r="I36" s="6"/>
      <c r="J36" s="6"/>
    </row>
    <row r="37" spans="1:10">
      <c r="A37" s="6" t="s">
        <v>35</v>
      </c>
      <c r="B37" s="6" t="s">
        <v>33</v>
      </c>
      <c r="C37" s="6"/>
      <c r="D37" s="6"/>
      <c r="E37" s="6"/>
      <c r="F37" s="6"/>
      <c r="G37" s="6"/>
      <c r="H37" s="6"/>
      <c r="I37" s="6"/>
      <c r="J37" s="6"/>
    </row>
    <row r="38" spans="1:10">
      <c r="A38" s="6" t="s">
        <v>36</v>
      </c>
      <c r="B38" s="6" t="s">
        <v>22</v>
      </c>
      <c r="C38" s="6"/>
      <c r="D38" s="6"/>
      <c r="E38" s="6"/>
      <c r="F38" s="6"/>
      <c r="G38" s="6"/>
      <c r="H38" s="6"/>
      <c r="I38" s="6"/>
      <c r="J38" s="6"/>
    </row>
    <row r="39" spans="1:10">
      <c r="A39" s="6" t="s">
        <v>36</v>
      </c>
      <c r="B39" s="6" t="s">
        <v>23</v>
      </c>
      <c r="C39" s="6"/>
      <c r="D39" s="6"/>
      <c r="E39" s="6"/>
      <c r="F39" s="6"/>
      <c r="G39" s="6"/>
      <c r="H39" s="6"/>
      <c r="I39" s="6"/>
      <c r="J39" s="6"/>
    </row>
    <row r="40" spans="1:10">
      <c r="A40" s="6" t="s">
        <v>36</v>
      </c>
      <c r="B40" s="6" t="s">
        <v>24</v>
      </c>
      <c r="C40" s="6"/>
      <c r="D40" s="6"/>
      <c r="E40" s="6"/>
      <c r="F40" s="6"/>
      <c r="G40" s="6"/>
      <c r="H40" s="6"/>
      <c r="I40" s="6"/>
      <c r="J40" s="6"/>
    </row>
    <row r="41" spans="1:10">
      <c r="A41" s="6" t="s">
        <v>36</v>
      </c>
      <c r="B41" s="6" t="s">
        <v>25</v>
      </c>
      <c r="C41" s="6"/>
      <c r="D41" s="6"/>
      <c r="E41" s="6"/>
      <c r="F41" s="6"/>
      <c r="G41" s="6"/>
      <c r="H41" s="6"/>
      <c r="I41" s="6"/>
      <c r="J41" s="6"/>
    </row>
    <row r="42" spans="1:10">
      <c r="A42" s="6" t="s">
        <v>36</v>
      </c>
      <c r="B42" s="6" t="s">
        <v>26</v>
      </c>
      <c r="C42" s="6"/>
      <c r="D42" s="6"/>
      <c r="E42" s="6"/>
      <c r="F42" s="6"/>
      <c r="G42" s="6"/>
      <c r="H42" s="6"/>
      <c r="I42" s="6"/>
      <c r="J42" s="6"/>
    </row>
    <row r="43" spans="1:10">
      <c r="A43" s="6" t="s">
        <v>36</v>
      </c>
      <c r="B43" s="6" t="s">
        <v>27</v>
      </c>
      <c r="C43" s="6"/>
      <c r="D43" s="6"/>
      <c r="E43" s="6"/>
      <c r="F43" s="6"/>
      <c r="G43" s="6"/>
      <c r="H43" s="6"/>
      <c r="I43" s="6"/>
      <c r="J43" s="6"/>
    </row>
    <row r="44" spans="1:10">
      <c r="A44" s="6" t="s">
        <v>36</v>
      </c>
      <c r="B44" s="6" t="s">
        <v>28</v>
      </c>
      <c r="C44" s="6"/>
      <c r="D44" s="6"/>
      <c r="E44" s="6"/>
      <c r="F44" s="6"/>
      <c r="G44" s="6"/>
      <c r="H44" s="6"/>
      <c r="I44" s="6"/>
      <c r="J44" s="6"/>
    </row>
    <row r="45" spans="1:10">
      <c r="A45" s="6" t="s">
        <v>36</v>
      </c>
      <c r="B45" s="6" t="s">
        <v>29</v>
      </c>
      <c r="C45" s="6"/>
      <c r="D45" s="6"/>
      <c r="E45" s="6"/>
      <c r="F45" s="6"/>
      <c r="G45" s="6"/>
      <c r="H45" s="6"/>
      <c r="I45" s="6"/>
      <c r="J45" s="6"/>
    </row>
    <row r="46" spans="1:10">
      <c r="A46" s="6" t="s">
        <v>36</v>
      </c>
      <c r="B46" s="6" t="s">
        <v>30</v>
      </c>
      <c r="C46" s="6"/>
      <c r="D46" s="6"/>
      <c r="E46" s="6"/>
      <c r="F46" s="6"/>
      <c r="G46" s="6"/>
      <c r="H46" s="6"/>
      <c r="I46" s="6"/>
      <c r="J46" s="6"/>
    </row>
    <row r="47" spans="1:10">
      <c r="A47" s="6" t="s">
        <v>36</v>
      </c>
      <c r="B47" s="6" t="s">
        <v>31</v>
      </c>
      <c r="C47" s="6"/>
      <c r="D47" s="6"/>
      <c r="E47" s="6"/>
      <c r="F47" s="6"/>
      <c r="G47" s="6"/>
      <c r="H47" s="6"/>
      <c r="I47" s="6"/>
      <c r="J47" s="6"/>
    </row>
    <row r="48" spans="1:10">
      <c r="A48" s="6" t="s">
        <v>36</v>
      </c>
      <c r="B48" s="6" t="s">
        <v>32</v>
      </c>
      <c r="C48" s="6"/>
      <c r="D48" s="6"/>
      <c r="E48" s="6"/>
      <c r="F48" s="6"/>
      <c r="G48" s="6"/>
      <c r="H48" s="6"/>
      <c r="I48" s="6"/>
      <c r="J48" s="6"/>
    </row>
    <row r="49" spans="1:10">
      <c r="A49" s="6" t="s">
        <v>36</v>
      </c>
      <c r="B49" s="6" t="s">
        <v>33</v>
      </c>
      <c r="C49" s="6"/>
      <c r="D49" s="6"/>
      <c r="E49" s="6"/>
      <c r="F49" s="6"/>
      <c r="G49" s="6"/>
      <c r="H49" s="6"/>
      <c r="I49" s="6"/>
      <c r="J49" s="6"/>
    </row>
  </sheetData>
  <conditionalFormatting sqref="I2:I49">
    <cfRule type="colorScale" priority="1">
      <colorScale>
        <cfvo type="min" val="0"/>
        <cfvo type="percentile" val="50"/>
        <cfvo type="max" val="0"/>
        <color rgb="FFFEE2E2"/>
        <color rgb="FFFFFFFF"/>
        <color rgb="FFDCFCE7"/>
      </colorScale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F13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2.7109375" customWidth="1"/>
    <col min="3" max="6" width="18.7109375" customWidth="1"/>
  </cols>
  <sheetData>
    <row r="1" spans="1:6" ht="30" customHeight="1">
      <c r="A1" s="5" t="s">
        <v>16</v>
      </c>
      <c r="B1" s="5" t="s">
        <v>17</v>
      </c>
      <c r="C1" s="5" t="s">
        <v>57</v>
      </c>
      <c r="D1" s="5" t="s">
        <v>58</v>
      </c>
      <c r="E1" s="5" t="s">
        <v>59</v>
      </c>
      <c r="F1" s="5" t="s">
        <v>60</v>
      </c>
    </row>
    <row r="2" spans="1:6">
      <c r="A2" s="6" t="s">
        <v>22</v>
      </c>
      <c r="B2" s="6">
        <v>1</v>
      </c>
      <c r="C2" s="4"/>
      <c r="D2" s="4"/>
      <c r="E2" s="4"/>
      <c r="F2" s="4"/>
    </row>
    <row r="3" spans="1:6">
      <c r="A3" s="6" t="s">
        <v>23</v>
      </c>
      <c r="B3" s="6">
        <v>2</v>
      </c>
      <c r="C3" s="4"/>
      <c r="D3" s="4"/>
      <c r="E3" s="4"/>
      <c r="F3" s="4"/>
    </row>
    <row r="4" spans="1:6">
      <c r="A4" s="6" t="s">
        <v>24</v>
      </c>
      <c r="B4" s="6">
        <v>3</v>
      </c>
      <c r="C4" s="4"/>
      <c r="D4" s="4"/>
      <c r="E4" s="4"/>
      <c r="F4" s="4"/>
    </row>
    <row r="5" spans="1:6">
      <c r="A5" s="6" t="s">
        <v>25</v>
      </c>
      <c r="B5" s="6">
        <v>4</v>
      </c>
      <c r="C5" s="4"/>
      <c r="D5" s="4"/>
      <c r="E5" s="4"/>
      <c r="F5" s="4"/>
    </row>
    <row r="6" spans="1:6">
      <c r="A6" s="6" t="s">
        <v>26</v>
      </c>
      <c r="B6" s="6">
        <v>5</v>
      </c>
      <c r="C6" s="4"/>
      <c r="D6" s="4"/>
      <c r="E6" s="4"/>
      <c r="F6" s="4"/>
    </row>
    <row r="7" spans="1:6">
      <c r="A7" s="6" t="s">
        <v>27</v>
      </c>
      <c r="B7" s="6">
        <v>6</v>
      </c>
      <c r="C7" s="4"/>
      <c r="D7" s="4"/>
      <c r="E7" s="4"/>
      <c r="F7" s="4"/>
    </row>
    <row r="8" spans="1:6">
      <c r="A8" s="6" t="s">
        <v>28</v>
      </c>
      <c r="B8" s="6">
        <v>7</v>
      </c>
      <c r="C8" s="4"/>
      <c r="D8" s="4"/>
      <c r="E8" s="4"/>
      <c r="F8" s="4"/>
    </row>
    <row r="9" spans="1:6">
      <c r="A9" s="6" t="s">
        <v>29</v>
      </c>
      <c r="B9" s="6">
        <v>8</v>
      </c>
      <c r="C9" s="4"/>
      <c r="D9" s="4"/>
      <c r="E9" s="4"/>
      <c r="F9" s="4"/>
    </row>
    <row r="10" spans="1:6">
      <c r="A10" s="6" t="s">
        <v>30</v>
      </c>
      <c r="B10" s="6">
        <v>9</v>
      </c>
      <c r="C10" s="4"/>
      <c r="D10" s="4"/>
      <c r="E10" s="4"/>
      <c r="F10" s="4"/>
    </row>
    <row r="11" spans="1:6">
      <c r="A11" s="6" t="s">
        <v>31</v>
      </c>
      <c r="B11" s="6">
        <v>10</v>
      </c>
      <c r="C11" s="4"/>
      <c r="D11" s="4"/>
      <c r="E11" s="4"/>
      <c r="F11" s="4"/>
    </row>
    <row r="12" spans="1:6">
      <c r="A12" s="6" t="s">
        <v>32</v>
      </c>
      <c r="B12" s="6">
        <v>11</v>
      </c>
      <c r="C12" s="4"/>
      <c r="D12" s="4"/>
      <c r="E12" s="4"/>
      <c r="F12" s="4"/>
    </row>
    <row r="13" spans="1:6">
      <c r="A13" s="6" t="s">
        <v>33</v>
      </c>
      <c r="B13" s="6">
        <v>12</v>
      </c>
      <c r="C13" s="4"/>
      <c r="D13" s="4"/>
      <c r="E13" s="4"/>
      <c r="F13" s="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B2:L6"/>
  <sheetViews>
    <sheetView showGridLines="0" workbookViewId="0"/>
  </sheetViews>
  <sheetFormatPr defaultRowHeight="15"/>
  <cols>
    <col min="1" max="1" width="2.7109375" customWidth="1"/>
    <col min="2" max="14" width="12.7109375" customWidth="1"/>
  </cols>
  <sheetData>
    <row r="2" spans="2:12">
      <c r="B2" s="1" t="s">
        <v>61</v>
      </c>
    </row>
    <row r="4" spans="2:12">
      <c r="B4" s="2" t="s">
        <v>49</v>
      </c>
      <c r="C4" s="2"/>
      <c r="E4" s="2" t="s">
        <v>50</v>
      </c>
      <c r="F4" s="2"/>
      <c r="H4" s="2" t="s">
        <v>51</v>
      </c>
      <c r="I4" s="2"/>
      <c r="K4" s="2" t="s">
        <v>52</v>
      </c>
      <c r="L4" s="2"/>
    </row>
    <row r="5" spans="2:12">
      <c r="B5" s="8">
        <v>35824167</v>
      </c>
      <c r="C5" s="8"/>
      <c r="E5" s="8">
        <v>36635040</v>
      </c>
      <c r="F5" s="8"/>
      <c r="H5" s="8">
        <v>-810873</v>
      </c>
      <c r="I5" s="8"/>
      <c r="K5" s="8">
        <v>10568583</v>
      </c>
      <c r="L5" s="8"/>
    </row>
    <row r="6" spans="2:12">
      <c r="B6" s="8"/>
      <c r="C6" s="8"/>
      <c r="E6" s="8"/>
      <c r="F6" s="8"/>
      <c r="H6" s="8"/>
      <c r="I6" s="8"/>
      <c r="K6" s="8"/>
      <c r="L6" s="8"/>
    </row>
  </sheetData>
  <mergeCells count="8">
    <mergeCell ref="B4:C4"/>
    <mergeCell ref="B5:C6"/>
    <mergeCell ref="E4:F4"/>
    <mergeCell ref="E5:F6"/>
    <mergeCell ref="H4:I4"/>
    <mergeCell ref="H5:I6"/>
    <mergeCell ref="K4:L4"/>
    <mergeCell ref="K5:L6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C7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34.7109375" customWidth="1"/>
    <col min="2" max="3" width="22.7109375" customWidth="1"/>
  </cols>
  <sheetData>
    <row r="1" spans="1:3" ht="30" customHeight="1">
      <c r="A1" s="1" t="s">
        <v>62</v>
      </c>
    </row>
    <row r="3" spans="1:3">
      <c r="A3" s="5" t="s">
        <v>63</v>
      </c>
      <c r="B3" s="5" t="s">
        <v>64</v>
      </c>
      <c r="C3" s="5" t="s">
        <v>65</v>
      </c>
    </row>
    <row r="4" spans="1:3">
      <c r="A4" s="6" t="s">
        <v>66</v>
      </c>
      <c r="B4" s="4">
        <f>SUM(Actuals!D:D)</f>
        <v>35824167</v>
      </c>
      <c r="C4" s="4">
        <v>35824167</v>
      </c>
    </row>
    <row r="5" spans="1:3">
      <c r="A5" s="6" t="s">
        <v>67</v>
      </c>
      <c r="B5" s="4">
        <f>SUM(Budget!D:D)</f>
        <v>36635040</v>
      </c>
      <c r="C5" s="4">
        <v>36635040</v>
      </c>
    </row>
    <row r="6" spans="1:3">
      <c r="A6" s="6" t="s">
        <v>68</v>
      </c>
      <c r="B6" s="4">
        <f>SUM(Analysis!E:E)-(SUM(Analysis!C:C)-SUM(Analysis!D:D))</f>
        <v>0</v>
      </c>
      <c r="C6" s="4">
        <v>0</v>
      </c>
    </row>
    <row r="7" spans="1:3">
      <c r="A7" s="6" t="s">
        <v>69</v>
      </c>
      <c r="B7" s="6">
        <f>COUNTIF(Analysis!J:J,"Review")</f>
        <v>25</v>
      </c>
      <c r="C7" s="6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Start Here</vt:lpstr>
      <vt:lpstr>Actuals</vt:lpstr>
      <vt:lpstr>Budget</vt:lpstr>
      <vt:lpstr>Assumptions</vt:lpstr>
      <vt:lpstr>Analysis</vt:lpstr>
      <vt:lpstr>Forecast</vt:lpstr>
      <vt:lpstr>Dashboard</vt:lpstr>
      <vt:lpstr>Controls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Generative AI for Finance and Fintech</dc:title>
  <dc:subject>TGS-2026065050</dc:subject>
  <dc:creator>Tertiary Infotech Academy Pte Ltd</dc:creator>
  <dc:description>Synthetic training data only</dc:description>
  <cp:lastModifiedBy>Tertiary Infotech Academy Pte Ltd</cp:lastModifiedBy>
  <dcterms:created xsi:type="dcterms:W3CDTF">2026-08-23T07:03:29Z</dcterms:created>
  <dcterms:modified xsi:type="dcterms:W3CDTF">2026-08-23T07:03:29Z</dcterms:modified>
</cp:coreProperties>
</file>