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ctuals" sheetId="2" r:id="rId2"/>
    <sheet name="Budget" sheetId="3" r:id="rId3"/>
    <sheet name="Assumptions" sheetId="4" r:id="rId4"/>
    <sheet name="Analysis" sheetId="5" r:id="rId5"/>
    <sheet name="Forecast" sheetId="6" r:id="rId6"/>
    <sheet name="Dashboard" sheetId="7" r:id="rId7"/>
    <sheet name="Controls" sheetId="8" r:id="rId8"/>
  </sheets>
  <calcPr calcId="124519" fullCalcOnLoad="1"/>
</workbook>
</file>

<file path=xl/sharedStrings.xml><?xml version="1.0" encoding="utf-8"?>
<sst xmlns="http://schemas.openxmlformats.org/spreadsheetml/2006/main" count="384" uniqueCount="70">
  <si>
    <t>Lab 3: Build an FP&amp;A Formula Model and Dashboard</t>
  </si>
  <si>
    <t>Course</t>
  </si>
  <si>
    <t>Generative AI for Finance and Fintech (TGS-2026065050)</t>
  </si>
  <si>
    <t>TSC mapping</t>
  </si>
  <si>
    <t>K1 · A2</t>
  </si>
  <si>
    <t>Objective</t>
  </si>
  <si>
    <t>Use native finance formulas, scenarios and charts to build an auditable management dashboard.</t>
  </si>
  <si>
    <t>Scenario</t>
  </si>
  <si>
    <t>Northstar's CFO needs a monthly performance dashboard and a transparent base/downside forecast.</t>
  </si>
  <si>
    <t>Expected output</t>
  </si>
  <si>
    <t>An editable dashboard with actual, budget, variance, forecast and driver views.</t>
  </si>
  <si>
    <t>Data notice</t>
  </si>
  <si>
    <t>All names, accounts, transactions and scores are synthetic. Do not replace them with live personal or customer data.</t>
  </si>
  <si>
    <t>Acceptance</t>
  </si>
  <si>
    <t>Dashboard charts remain linked to data; all formula checks pass; total variance equals actual less budget; scenarios use assumption cells rather than hard-coded outputs.</t>
  </si>
  <si>
    <t>Department</t>
  </si>
  <si>
    <t>Month</t>
  </si>
  <si>
    <t>Month No</t>
  </si>
  <si>
    <t>Revenue</t>
  </si>
  <si>
    <t>Cost of Sales</t>
  </si>
  <si>
    <t>Operating Expense</t>
  </si>
  <si>
    <t>Retail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</si>
  <si>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</si>
  <si>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</si>
  <si>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</si>
  <si>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</si>
  <si>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</si>
  <si>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</si>
  <si>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</si>
  <si>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</si>
  <si>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</si>
  <si>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</si>
  <si>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</si>
  <si>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</si>
  <si>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SME</t>
  </si>
  <si>
    <t>Enterprise</t>
  </si>
  <si>
    <t>Digital</t>
  </si>
  <si>
    <t>Scenario assumptions</t>
  </si>
  <si>
    <t>Assumption</t>
  </si>
  <si>
    <t>Value</t>
  </si>
  <si>
    <t>Owner</t>
  </si>
  <si>
    <t>Base revenue growth</t>
  </si>
  <si>
    <t>FP&amp;A Director</t>
  </si>
  <si>
    <t>Downside revenue growth</t>
  </si>
  <si>
    <t>Base COGS %</t>
  </si>
  <si>
    <t>Downside COGS %</t>
  </si>
  <si>
    <t>Base opex growth</t>
  </si>
  <si>
    <t>Downside opex growth</t>
  </si>
  <si>
    <t>Discount rate</t>
  </si>
  <si>
    <t>Actual Revenue</t>
  </si>
  <si>
    <t>Budget Revenue</t>
  </si>
  <si>
    <t>Revenue Variance</t>
  </si>
  <si>
    <t>Actual EBITDA</t>
  </si>
  <si>
    <t>Budget EBITDA</t>
  </si>
  <si>
    <t>EBITDA Variance</t>
  </si>
  <si>
    <t>Variance %</t>
  </si>
  <si>
    <t>Commentary status</t>
  </si>
  <si>
    <t>Base Revenue</t>
  </si>
  <si>
    <t>Downside Revenue</t>
  </si>
  <si>
    <t>Base EBITDA</t>
  </si>
  <si>
    <t>Downside EBITDA</t>
  </si>
  <si>
    <t>NORTHSTAR FP&amp;A DASHBOARD</t>
  </si>
  <si>
    <t>Workbook control checks</t>
  </si>
  <si>
    <t>Check</t>
  </si>
  <si>
    <t>Calculated</t>
  </si>
  <si>
    <t>Expected</t>
  </si>
  <si>
    <t>Actual revenue control</t>
  </si>
  <si>
    <t>Budget revenue control</t>
  </si>
  <si>
    <t>Variance identity</t>
  </si>
  <si>
    <t>Formula status count</t>
  </si>
</sst>
</file>

<file path=xl/styles.xml><?xml version="1.0" encoding="utf-8"?>
<styleSheet xmlns="http://schemas.openxmlformats.org/spreadsheetml/2006/main">
  <numFmts count="3">
    <numFmt numFmtId="164" formatCode="$#,##0;[Red]-$#,##0"/>
    <numFmt numFmtId="165" formatCode="0.0%"/>
    <numFmt numFmtId="166" formatCode="$#,##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5" fontId="0" fillId="4" borderId="3" xfId="0" applyNumberFormat="1" applyFill="1" applyBorder="1"/>
    <xf numFmtId="165" fontId="0" fillId="0" borderId="2" xfId="0" applyNumberFormat="1" applyBorder="1"/>
    <xf numFmtId="166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forecast scenarios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 revenue</c:v>
          </c:tx>
          <c:spPr>
            <a:solidFill>
              <a:srgbClr val="1F6FEB"/>
            </a:solidFill>
          </c:spP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Forecast!$C$2:$C$13</c:f>
              <c:numCache>
                <c:formatCode>General</c:formatCode>
                <c:ptCount val="12"/>
                <c:pt idx="0">
                  <c:v>2748990.22</c:v>
                </c:pt>
                <c:pt idx="1">
                  <c:v>2652524.92</c:v>
                </c:pt>
                <c:pt idx="2">
                  <c:v>2791617.06</c:v>
                </c:pt>
                <c:pt idx="3">
                  <c:v>3009439.64</c:v>
                </c:pt>
                <c:pt idx="4">
                  <c:v>2874599.16</c:v>
                </c:pt>
                <c:pt idx="5">
                  <c:v>3072839.3000000003</c:v>
                </c:pt>
                <c:pt idx="6">
                  <c:v>3274845.62</c:v>
                </c:pt>
                <c:pt idx="7">
                  <c:v>3148031.46</c:v>
                </c:pt>
                <c:pt idx="8">
                  <c:v>3357482.16</c:v>
                </c:pt>
                <c:pt idx="9">
                  <c:v>3600124.64</c:v>
                </c:pt>
                <c:pt idx="10">
                  <c:v>3618575.0</c:v>
                </c:pt>
                <c:pt idx="11">
                  <c:v>3635121.6</c:v>
                </c:pt>
              </c:numCache>
            </c:numRef>
          </c:val>
        </c:ser>
        <c:ser>
          <c:idx val="1"/>
          <c:order val="1"/>
          <c:tx>
            <c:v>Downside revenue</c:v>
          </c:tx>
          <c:spPr>
            <a:solidFill>
              <a:srgbClr val="F59E0B"/>
            </a:solidFill>
          </c:spP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Forecast!$D$2:$D$13</c:f>
              <c:numCache>
                <c:formatCode>General</c:formatCode>
                <c:ptCount val="12"/>
                <c:pt idx="0">
                  <c:v>2515585.39</c:v>
                </c:pt>
                <c:pt idx="1">
                  <c:v>2427310.54</c:v>
                </c:pt>
                <c:pt idx="2">
                  <c:v>2554592.9699999997</c:v>
                </c:pt>
                <c:pt idx="3">
                  <c:v>2753921.1799999997</c:v>
                </c:pt>
                <c:pt idx="4">
                  <c:v>2630529.42</c:v>
                </c:pt>
                <c:pt idx="5">
                  <c:v>2811937.85</c:v>
                </c:pt>
                <c:pt idx="6">
                  <c:v>2996792.69</c:v>
                </c:pt>
                <c:pt idx="7">
                  <c:v>2880745.77</c:v>
                </c:pt>
                <c:pt idx="8">
                  <c:v>3072412.92</c:v>
                </c:pt>
                <c:pt idx="9">
                  <c:v>3294453.6799999997</c:v>
                </c:pt>
                <c:pt idx="10">
                  <c:v>3311337.5</c:v>
                </c:pt>
                <c:pt idx="11">
                  <c:v>3326479.1999999997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EBITDA outlook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 EBITDA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Forecast!$E$2:$E$13</c:f>
              <c:numCache>
                <c:formatCode>General</c:formatCode>
                <c:ptCount val="12"/>
                <c:pt idx="0">
                  <c:v>873307.0298000003</c:v>
                </c:pt>
                <c:pt idx="1">
                  <c:v>796940.3428000001</c:v>
                </c:pt>
                <c:pt idx="2">
                  <c:v>853113.9054000002</c:v>
                </c:pt>
                <c:pt idx="3">
                  <c:v>949548.3476000002</c:v>
                </c:pt>
                <c:pt idx="4">
                  <c:v>833355.3444000002</c:v>
                </c:pt>
                <c:pt idx="5">
                  <c:v>920291.1870000004</c:v>
                </c:pt>
                <c:pt idx="6">
                  <c:v>1037715.2358000003</c:v>
                </c:pt>
                <c:pt idx="7">
                  <c:v>909525.2014000003</c:v>
                </c:pt>
                <c:pt idx="8">
                  <c:v>1009105.1944000004</c:v>
                </c:pt>
                <c:pt idx="9">
                  <c:v>1114282.4176000003</c:v>
                </c:pt>
                <c:pt idx="10">
                  <c:v>1104082.1300000004</c:v>
                </c:pt>
                <c:pt idx="11">
                  <c:v>1077008.8640000003</c:v>
                </c:pt>
              </c:numCache>
            </c:numRef>
          </c:val>
        </c:ser>
        <c:ser>
          <c:idx val="1"/>
          <c:order val="1"/>
          <c:tx>
            <c:v>Downside EBITDA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Forecast!$A$2:$A$13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Forecast!$F$2:$F$13</c:f>
              <c:numCache>
                <c:formatCode>General</c:formatCode>
                <c:ptCount val="12"/>
                <c:pt idx="0">
                  <c:v>606182.5645000002</c:v>
                </c:pt>
                <c:pt idx="1">
                  <c:v>537431.0769999999</c:v>
                </c:pt>
                <c:pt idx="2">
                  <c:v>580549.8134999999</c:v>
                </c:pt>
                <c:pt idx="3">
                  <c:v>656865.5689999999</c:v>
                </c:pt>
                <c:pt idx="4">
                  <c:v>550953.861</c:v>
                </c:pt>
                <c:pt idx="5">
                  <c:v>619547.8175</c:v>
                </c:pt>
                <c:pt idx="6">
                  <c:v>719390.6195</c:v>
                </c:pt>
                <c:pt idx="7">
                  <c:v>600142.4535</c:v>
                </c:pt>
                <c:pt idx="8">
                  <c:v>680640.5460000001</c:v>
                </c:pt>
                <c:pt idx="9">
                  <c:v>763320.284</c:v>
                </c:pt>
                <c:pt idx="10">
                  <c:v>750709.3850000002</c:v>
                </c:pt>
                <c:pt idx="11">
                  <c:v>720784.8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238125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238125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tualsTable" displayName="ActualsTable" ref="A1:F49" totalsRowShown="0">
  <autoFilter ref="A1:F49"/>
  <tableColumns count="6">
    <tableColumn id="1" name="Department"/>
    <tableColumn id="2" name="Month"/>
    <tableColumn id="3" name="Month No"/>
    <tableColumn id="4" name="Revenue"/>
    <tableColumn id="5" name="Cost of Sales"/>
    <tableColumn id="6" name="Operating Expe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dgetTable" displayName="BudgetTable" ref="A1:F49" totalsRowShown="0">
  <autoFilter ref="A1:F49"/>
  <tableColumns count="6">
    <tableColumn id="1" name="Department"/>
    <tableColumn id="2" name="Month"/>
    <tableColumn id="3" name="Month No"/>
    <tableColumn id="4" name="Revenue"/>
    <tableColumn id="5" name="Cost of Sales"/>
    <tableColumn id="6" name="Operating Expe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alysisTable" displayName="AnalysisTable" ref="A1:J49" totalsRowShown="0">
  <autoFilter ref="A1:J49"/>
  <tableColumns count="10">
    <tableColumn id="1" name="Department"/>
    <tableColumn id="2" name="Month"/>
    <tableColumn id="3" name="Actual Revenue"/>
    <tableColumn id="4" name="Budget Revenue"/>
    <tableColumn id="5" name="Revenue Variance"/>
    <tableColumn id="6" name="Actual EBITDA"/>
    <tableColumn id="7" name="Budget EBITDA"/>
    <tableColumn id="8" name="EBITDA Variance"/>
    <tableColumn id="9" name="Variance %"/>
    <tableColumn id="10" name="Commentar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0.7109375" customWidth="1"/>
    <col min="4" max="6" width="16.7109375" customWidth="1"/>
  </cols>
  <sheetData>
    <row r="1" spans="1:6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 t="s">
        <v>22</v>
      </c>
      <c r="C2">
        <v>1</v>
      </c>
      <c r="D2" s="4">
        <v>530761</v>
      </c>
      <c r="E2" s="4">
        <v>-231724</v>
      </c>
      <c r="F2" s="4">
        <v>-155692</v>
      </c>
    </row>
    <row r="3" spans="1:6">
      <c r="A3" t="s">
        <v>21</v>
      </c>
      <c r="B3" t="s">
        <v>23</v>
      </c>
      <c r="C3">
        <v>2</v>
      </c>
      <c r="D3" s="4">
        <v>503518</v>
      </c>
      <c r="E3" s="4">
        <v>-207028</v>
      </c>
      <c r="F3" s="4">
        <v>-158542</v>
      </c>
    </row>
    <row r="4" spans="1:6">
      <c r="A4" t="s">
        <v>21</v>
      </c>
      <c r="B4" t="s">
        <v>24</v>
      </c>
      <c r="C4">
        <v>3</v>
      </c>
      <c r="D4" s="4">
        <v>589110</v>
      </c>
      <c r="E4" s="4">
        <v>-252748</v>
      </c>
      <c r="F4" s="4">
        <v>-171714</v>
      </c>
    </row>
    <row r="5" spans="1:6">
      <c r="A5" t="s">
        <v>21</v>
      </c>
      <c r="B5" t="s">
        <v>25</v>
      </c>
      <c r="C5">
        <v>4</v>
      </c>
      <c r="D5" s="4">
        <v>537914</v>
      </c>
      <c r="E5" s="4">
        <v>-235451</v>
      </c>
      <c r="F5" s="4">
        <v>-172890</v>
      </c>
    </row>
    <row r="6" spans="1:6">
      <c r="A6" t="s">
        <v>21</v>
      </c>
      <c r="B6" t="s">
        <v>26</v>
      </c>
      <c r="C6">
        <v>5</v>
      </c>
      <c r="D6" s="4">
        <v>542347</v>
      </c>
      <c r="E6" s="4">
        <v>-220911</v>
      </c>
      <c r="F6" s="4">
        <v>-177848</v>
      </c>
    </row>
    <row r="7" spans="1:6">
      <c r="A7" t="s">
        <v>21</v>
      </c>
      <c r="B7" t="s">
        <v>27</v>
      </c>
      <c r="C7">
        <v>6</v>
      </c>
      <c r="D7" s="4">
        <v>608028</v>
      </c>
      <c r="E7" s="4">
        <v>-259484</v>
      </c>
      <c r="F7" s="4">
        <v>-183141</v>
      </c>
    </row>
    <row r="8" spans="1:6">
      <c r="A8" t="s">
        <v>21</v>
      </c>
      <c r="B8" t="s">
        <v>28</v>
      </c>
      <c r="C8">
        <v>7</v>
      </c>
      <c r="D8" s="4">
        <v>644804</v>
      </c>
      <c r="E8" s="4">
        <v>-261720</v>
      </c>
      <c r="F8" s="4">
        <v>-186092</v>
      </c>
    </row>
    <row r="9" spans="1:6">
      <c r="A9" t="s">
        <v>21</v>
      </c>
      <c r="B9" t="s">
        <v>29</v>
      </c>
      <c r="C9">
        <v>8</v>
      </c>
      <c r="D9" s="4">
        <v>615036</v>
      </c>
      <c r="E9" s="4">
        <v>-264216</v>
      </c>
      <c r="F9" s="4">
        <v>-208121</v>
      </c>
    </row>
    <row r="10" spans="1:6">
      <c r="A10" t="s">
        <v>21</v>
      </c>
      <c r="B10" t="s">
        <v>30</v>
      </c>
      <c r="C10">
        <v>9</v>
      </c>
      <c r="D10" s="4">
        <v>648361</v>
      </c>
      <c r="E10" s="4">
        <v>-272045</v>
      </c>
      <c r="F10" s="4">
        <v>-209695</v>
      </c>
    </row>
    <row r="11" spans="1:6">
      <c r="A11" t="s">
        <v>21</v>
      </c>
      <c r="B11" t="s">
        <v>31</v>
      </c>
      <c r="C11">
        <v>10</v>
      </c>
      <c r="D11" s="4">
        <v>750496</v>
      </c>
      <c r="E11" s="4">
        <v>-312044</v>
      </c>
      <c r="F11" s="4">
        <v>-207725</v>
      </c>
    </row>
    <row r="12" spans="1:6">
      <c r="A12" t="s">
        <v>21</v>
      </c>
      <c r="B12" t="s">
        <v>32</v>
      </c>
      <c r="C12">
        <v>11</v>
      </c>
      <c r="D12" s="4">
        <v>765301</v>
      </c>
      <c r="E12" s="4">
        <v>-316583</v>
      </c>
      <c r="F12" s="4">
        <v>-215550</v>
      </c>
    </row>
    <row r="13" spans="1:6">
      <c r="A13" t="s">
        <v>21</v>
      </c>
      <c r="B13" t="s">
        <v>33</v>
      </c>
      <c r="C13">
        <v>12</v>
      </c>
      <c r="D13" s="4">
        <v>733603</v>
      </c>
      <c r="E13" s="4">
        <v>-302355</v>
      </c>
      <c r="F13" s="4">
        <v>-225510</v>
      </c>
    </row>
    <row r="14" spans="1:6">
      <c r="A14" t="s">
        <v>34</v>
      </c>
      <c r="B14" t="s">
        <v>22</v>
      </c>
      <c r="C14">
        <v>1</v>
      </c>
      <c r="D14" s="4">
        <v>564462</v>
      </c>
      <c r="E14" s="4">
        <v>-226450</v>
      </c>
      <c r="F14" s="4">
        <v>-165297</v>
      </c>
    </row>
    <row r="15" spans="1:6">
      <c r="A15" t="s">
        <v>34</v>
      </c>
      <c r="B15" t="s">
        <v>23</v>
      </c>
      <c r="C15">
        <v>2</v>
      </c>
      <c r="D15" s="4">
        <v>599919</v>
      </c>
      <c r="E15" s="4">
        <v>-245643</v>
      </c>
      <c r="F15" s="4">
        <v>-169716</v>
      </c>
    </row>
    <row r="16" spans="1:6">
      <c r="A16" t="s">
        <v>34</v>
      </c>
      <c r="B16" t="s">
        <v>24</v>
      </c>
      <c r="C16">
        <v>3</v>
      </c>
      <c r="D16" s="4">
        <v>618371</v>
      </c>
      <c r="E16" s="4">
        <v>-263514</v>
      </c>
      <c r="F16" s="4">
        <v>-178094</v>
      </c>
    </row>
    <row r="17" spans="1:6">
      <c r="A17" t="s">
        <v>34</v>
      </c>
      <c r="B17" t="s">
        <v>25</v>
      </c>
      <c r="C17">
        <v>4</v>
      </c>
      <c r="D17" s="4">
        <v>645760</v>
      </c>
      <c r="E17" s="4">
        <v>-273201</v>
      </c>
      <c r="F17" s="4">
        <v>-189024</v>
      </c>
    </row>
    <row r="18" spans="1:6">
      <c r="A18" t="s">
        <v>34</v>
      </c>
      <c r="B18" t="s">
        <v>26</v>
      </c>
      <c r="C18">
        <v>5</v>
      </c>
      <c r="D18" s="4">
        <v>709030</v>
      </c>
      <c r="E18" s="4">
        <v>-295389</v>
      </c>
      <c r="F18" s="4">
        <v>-194332</v>
      </c>
    </row>
    <row r="19" spans="1:6">
      <c r="A19" t="s">
        <v>34</v>
      </c>
      <c r="B19" t="s">
        <v>27</v>
      </c>
      <c r="C19">
        <v>6</v>
      </c>
      <c r="D19" s="4">
        <v>670284</v>
      </c>
      <c r="E19" s="4">
        <v>-293808</v>
      </c>
      <c r="F19" s="4">
        <v>-212468</v>
      </c>
    </row>
    <row r="20" spans="1:6">
      <c r="A20" t="s">
        <v>34</v>
      </c>
      <c r="B20" t="s">
        <v>28</v>
      </c>
      <c r="C20">
        <v>7</v>
      </c>
      <c r="D20" s="4">
        <v>724687</v>
      </c>
      <c r="E20" s="4">
        <v>-299466</v>
      </c>
      <c r="F20" s="4">
        <v>-205496</v>
      </c>
    </row>
    <row r="21" spans="1:6">
      <c r="A21" t="s">
        <v>34</v>
      </c>
      <c r="B21" t="s">
        <v>29</v>
      </c>
      <c r="C21">
        <v>8</v>
      </c>
      <c r="D21" s="4">
        <v>712064</v>
      </c>
      <c r="E21" s="4">
        <v>-293753</v>
      </c>
      <c r="F21" s="4">
        <v>-208773</v>
      </c>
    </row>
    <row r="22" spans="1:6">
      <c r="A22" t="s">
        <v>34</v>
      </c>
      <c r="B22" t="s">
        <v>30</v>
      </c>
      <c r="C22">
        <v>9</v>
      </c>
      <c r="D22" s="4">
        <v>730309</v>
      </c>
      <c r="E22" s="4">
        <v>-305840</v>
      </c>
      <c r="F22" s="4">
        <v>-226319</v>
      </c>
    </row>
    <row r="23" spans="1:6">
      <c r="A23" t="s">
        <v>34</v>
      </c>
      <c r="B23" t="s">
        <v>31</v>
      </c>
      <c r="C23">
        <v>10</v>
      </c>
      <c r="D23" s="4">
        <v>827694</v>
      </c>
      <c r="E23" s="4">
        <v>-333029</v>
      </c>
      <c r="F23" s="4">
        <v>-237656</v>
      </c>
    </row>
    <row r="24" spans="1:6">
      <c r="A24" t="s">
        <v>34</v>
      </c>
      <c r="B24" t="s">
        <v>32</v>
      </c>
      <c r="C24">
        <v>11</v>
      </c>
      <c r="D24" s="4">
        <v>764028</v>
      </c>
      <c r="E24" s="4">
        <v>-309742</v>
      </c>
      <c r="F24" s="4">
        <v>-241705</v>
      </c>
    </row>
    <row r="25" spans="1:6">
      <c r="A25" t="s">
        <v>34</v>
      </c>
      <c r="B25" t="s">
        <v>33</v>
      </c>
      <c r="C25">
        <v>12</v>
      </c>
      <c r="D25" s="4">
        <v>849948</v>
      </c>
      <c r="E25" s="4">
        <v>-342278</v>
      </c>
      <c r="F25" s="4">
        <v>-245986</v>
      </c>
    </row>
    <row r="26" spans="1:6">
      <c r="A26" t="s">
        <v>35</v>
      </c>
      <c r="B26" t="s">
        <v>22</v>
      </c>
      <c r="C26">
        <v>1</v>
      </c>
      <c r="D26" s="4">
        <v>707828</v>
      </c>
      <c r="E26" s="4">
        <v>-286609</v>
      </c>
      <c r="F26" s="4">
        <v>-192698</v>
      </c>
    </row>
    <row r="27" spans="1:6">
      <c r="A27" t="s">
        <v>35</v>
      </c>
      <c r="B27" t="s">
        <v>23</v>
      </c>
      <c r="C27">
        <v>2</v>
      </c>
      <c r="D27" s="4">
        <v>660969</v>
      </c>
      <c r="E27" s="4">
        <v>-269415</v>
      </c>
      <c r="F27" s="4">
        <v>-193948</v>
      </c>
    </row>
    <row r="28" spans="1:6">
      <c r="A28" t="s">
        <v>35</v>
      </c>
      <c r="B28" t="s">
        <v>24</v>
      </c>
      <c r="C28">
        <v>3</v>
      </c>
      <c r="D28" s="4">
        <v>673504</v>
      </c>
      <c r="E28" s="4">
        <v>-285973</v>
      </c>
      <c r="F28" s="4">
        <v>-195898</v>
      </c>
    </row>
    <row r="29" spans="1:6">
      <c r="A29" t="s">
        <v>35</v>
      </c>
      <c r="B29" t="s">
        <v>25</v>
      </c>
      <c r="C29">
        <v>4</v>
      </c>
      <c r="D29" s="4">
        <v>778468</v>
      </c>
      <c r="E29" s="4">
        <v>-317227</v>
      </c>
      <c r="F29" s="4">
        <v>-200245</v>
      </c>
    </row>
    <row r="30" spans="1:6">
      <c r="A30" t="s">
        <v>35</v>
      </c>
      <c r="B30" t="s">
        <v>26</v>
      </c>
      <c r="C30">
        <v>5</v>
      </c>
      <c r="D30" s="4">
        <v>698069</v>
      </c>
      <c r="E30" s="4">
        <v>-288196</v>
      </c>
      <c r="F30" s="4">
        <v>-216776</v>
      </c>
    </row>
    <row r="31" spans="1:6">
      <c r="A31" t="s">
        <v>35</v>
      </c>
      <c r="B31" t="s">
        <v>27</v>
      </c>
      <c r="C31">
        <v>6</v>
      </c>
      <c r="D31" s="4">
        <v>717962</v>
      </c>
      <c r="E31" s="4">
        <v>-306742</v>
      </c>
      <c r="F31" s="4">
        <v>-220802</v>
      </c>
    </row>
    <row r="32" spans="1:6">
      <c r="A32" t="s">
        <v>35</v>
      </c>
      <c r="B32" t="s">
        <v>28</v>
      </c>
      <c r="C32">
        <v>7</v>
      </c>
      <c r="D32" s="4">
        <v>812015</v>
      </c>
      <c r="E32" s="4">
        <v>-329802</v>
      </c>
      <c r="F32" s="4">
        <v>-229946</v>
      </c>
    </row>
    <row r="33" spans="1:6">
      <c r="A33" t="s">
        <v>35</v>
      </c>
      <c r="B33" t="s">
        <v>29</v>
      </c>
      <c r="C33">
        <v>8</v>
      </c>
      <c r="D33" s="4">
        <v>766648</v>
      </c>
      <c r="E33" s="4">
        <v>-314821</v>
      </c>
      <c r="F33" s="4">
        <v>-246305</v>
      </c>
    </row>
    <row r="34" spans="1:6">
      <c r="A34" t="s">
        <v>35</v>
      </c>
      <c r="B34" t="s">
        <v>30</v>
      </c>
      <c r="C34">
        <v>9</v>
      </c>
      <c r="D34" s="4">
        <v>907184</v>
      </c>
      <c r="E34" s="4">
        <v>-375030</v>
      </c>
      <c r="F34" s="4">
        <v>-236392</v>
      </c>
    </row>
    <row r="35" spans="1:6">
      <c r="A35" t="s">
        <v>35</v>
      </c>
      <c r="B35" t="s">
        <v>31</v>
      </c>
      <c r="C35">
        <v>10</v>
      </c>
      <c r="D35" s="4">
        <v>818304</v>
      </c>
      <c r="E35" s="4">
        <v>-354266</v>
      </c>
      <c r="F35" s="4">
        <v>-253545</v>
      </c>
    </row>
    <row r="36" spans="1:6">
      <c r="A36" t="s">
        <v>35</v>
      </c>
      <c r="B36" t="s">
        <v>32</v>
      </c>
      <c r="C36">
        <v>11</v>
      </c>
      <c r="D36" s="4">
        <v>849892</v>
      </c>
      <c r="E36" s="4">
        <v>-350406</v>
      </c>
      <c r="F36" s="4">
        <v>-263602</v>
      </c>
    </row>
    <row r="37" spans="1:6">
      <c r="A37" t="s">
        <v>35</v>
      </c>
      <c r="B37" t="s">
        <v>33</v>
      </c>
      <c r="C37">
        <v>12</v>
      </c>
      <c r="D37" s="4">
        <v>922344</v>
      </c>
      <c r="E37" s="4">
        <v>-389163</v>
      </c>
      <c r="F37" s="4">
        <v>-260971</v>
      </c>
    </row>
    <row r="38" spans="1:6">
      <c r="A38" t="s">
        <v>36</v>
      </c>
      <c r="B38" t="s">
        <v>22</v>
      </c>
      <c r="C38">
        <v>1</v>
      </c>
      <c r="D38" s="4">
        <v>790336</v>
      </c>
      <c r="E38" s="4">
        <v>-325022</v>
      </c>
      <c r="F38" s="4">
        <v>-206118</v>
      </c>
    </row>
    <row r="39" spans="1:6">
      <c r="A39" t="s">
        <v>36</v>
      </c>
      <c r="B39" t="s">
        <v>23</v>
      </c>
      <c r="C39">
        <v>2</v>
      </c>
      <c r="D39" s="4">
        <v>737976</v>
      </c>
      <c r="E39" s="4">
        <v>-297064</v>
      </c>
      <c r="F39" s="4">
        <v>-216303</v>
      </c>
    </row>
    <row r="40" spans="1:6">
      <c r="A40" t="s">
        <v>36</v>
      </c>
      <c r="B40" t="s">
        <v>24</v>
      </c>
      <c r="C40">
        <v>3</v>
      </c>
      <c r="D40" s="4">
        <v>752616</v>
      </c>
      <c r="E40" s="4">
        <v>-328636</v>
      </c>
      <c r="F40" s="4">
        <v>-217698</v>
      </c>
    </row>
    <row r="41" spans="1:6">
      <c r="A41" t="s">
        <v>36</v>
      </c>
      <c r="B41" t="s">
        <v>25</v>
      </c>
      <c r="C41">
        <v>4</v>
      </c>
      <c r="D41" s="4">
        <v>876952</v>
      </c>
      <c r="E41" s="4">
        <v>-380982</v>
      </c>
      <c r="F41" s="4">
        <v>-232092</v>
      </c>
    </row>
    <row r="42" spans="1:6">
      <c r="A42" t="s">
        <v>36</v>
      </c>
      <c r="B42" t="s">
        <v>26</v>
      </c>
      <c r="C42">
        <v>5</v>
      </c>
      <c r="D42" s="4">
        <v>762440</v>
      </c>
      <c r="E42" s="4">
        <v>-329562</v>
      </c>
      <c r="F42" s="4">
        <v>-240523</v>
      </c>
    </row>
    <row r="43" spans="1:6">
      <c r="A43" t="s">
        <v>36</v>
      </c>
      <c r="B43" t="s">
        <v>27</v>
      </c>
      <c r="C43">
        <v>6</v>
      </c>
      <c r="D43" s="4">
        <v>902631</v>
      </c>
      <c r="E43" s="4">
        <v>-367637</v>
      </c>
      <c r="F43" s="4">
        <v>-241939</v>
      </c>
    </row>
    <row r="44" spans="1:6">
      <c r="A44" t="s">
        <v>36</v>
      </c>
      <c r="B44" t="s">
        <v>28</v>
      </c>
      <c r="C44">
        <v>7</v>
      </c>
      <c r="D44" s="4">
        <v>907971</v>
      </c>
      <c r="E44" s="4">
        <v>-370357</v>
      </c>
      <c r="F44" s="4">
        <v>-238508</v>
      </c>
    </row>
    <row r="45" spans="1:6">
      <c r="A45" t="s">
        <v>36</v>
      </c>
      <c r="B45" t="s">
        <v>29</v>
      </c>
      <c r="C45">
        <v>8</v>
      </c>
      <c r="D45" s="4">
        <v>876093</v>
      </c>
      <c r="E45" s="4">
        <v>-368776</v>
      </c>
      <c r="F45" s="4">
        <v>-248160</v>
      </c>
    </row>
    <row r="46" spans="1:6">
      <c r="A46" t="s">
        <v>36</v>
      </c>
      <c r="B46" t="s">
        <v>30</v>
      </c>
      <c r="C46">
        <v>9</v>
      </c>
      <c r="D46" s="4">
        <v>881582</v>
      </c>
      <c r="E46" s="4">
        <v>-372856</v>
      </c>
      <c r="F46" s="4">
        <v>-262026</v>
      </c>
    </row>
    <row r="47" spans="1:6">
      <c r="A47" t="s">
        <v>36</v>
      </c>
      <c r="B47" t="s">
        <v>31</v>
      </c>
      <c r="C47">
        <v>10</v>
      </c>
      <c r="D47" s="4">
        <v>999850</v>
      </c>
      <c r="E47" s="4">
        <v>-434705</v>
      </c>
      <c r="F47" s="4">
        <v>-272027</v>
      </c>
    </row>
    <row r="48" spans="1:6">
      <c r="A48" t="s">
        <v>36</v>
      </c>
      <c r="B48" t="s">
        <v>32</v>
      </c>
      <c r="C48">
        <v>11</v>
      </c>
      <c r="D48" s="4">
        <v>1034529</v>
      </c>
      <c r="E48" s="4">
        <v>-434178</v>
      </c>
      <c r="F48" s="4">
        <v>-270371</v>
      </c>
    </row>
    <row r="49" spans="1:6">
      <c r="A49" t="s">
        <v>36</v>
      </c>
      <c r="B49" t="s">
        <v>33</v>
      </c>
      <c r="C49">
        <v>12</v>
      </c>
      <c r="D49" s="4">
        <v>923465</v>
      </c>
      <c r="E49" s="4">
        <v>-384928</v>
      </c>
      <c r="F49" s="4">
        <v>-294180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0.7109375" customWidth="1"/>
    <col min="4" max="6" width="16.7109375" customWidth="1"/>
  </cols>
  <sheetData>
    <row r="1" spans="1:6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 t="s">
        <v>22</v>
      </c>
      <c r="C2">
        <v>1</v>
      </c>
      <c r="D2" s="4">
        <v>515000</v>
      </c>
      <c r="E2" s="4">
        <v>-216300</v>
      </c>
      <c r="F2" s="4">
        <v>-150000</v>
      </c>
    </row>
    <row r="3" spans="1:6">
      <c r="A3" t="s">
        <v>21</v>
      </c>
      <c r="B3" t="s">
        <v>23</v>
      </c>
      <c r="C3">
        <v>2</v>
      </c>
      <c r="D3" s="4">
        <v>537660</v>
      </c>
      <c r="E3" s="4">
        <v>-225817</v>
      </c>
      <c r="F3" s="4">
        <v>-157000</v>
      </c>
    </row>
    <row r="4" spans="1:6">
      <c r="A4" t="s">
        <v>21</v>
      </c>
      <c r="B4" t="s">
        <v>24</v>
      </c>
      <c r="C4">
        <v>3</v>
      </c>
      <c r="D4" s="4">
        <v>560320</v>
      </c>
      <c r="E4" s="4">
        <v>-235334</v>
      </c>
      <c r="F4" s="4">
        <v>-164000</v>
      </c>
    </row>
    <row r="5" spans="1:6">
      <c r="A5" t="s">
        <v>21</v>
      </c>
      <c r="B5" t="s">
        <v>25</v>
      </c>
      <c r="C5">
        <v>4</v>
      </c>
      <c r="D5" s="4">
        <v>582980</v>
      </c>
      <c r="E5" s="4">
        <v>-244852</v>
      </c>
      <c r="F5" s="4">
        <v>-171000</v>
      </c>
    </row>
    <row r="6" spans="1:6">
      <c r="A6" t="s">
        <v>21</v>
      </c>
      <c r="B6" t="s">
        <v>26</v>
      </c>
      <c r="C6">
        <v>5</v>
      </c>
      <c r="D6" s="4">
        <v>605640</v>
      </c>
      <c r="E6" s="4">
        <v>-254369</v>
      </c>
      <c r="F6" s="4">
        <v>-178000</v>
      </c>
    </row>
    <row r="7" spans="1:6">
      <c r="A7" t="s">
        <v>21</v>
      </c>
      <c r="B7" t="s">
        <v>27</v>
      </c>
      <c r="C7">
        <v>6</v>
      </c>
      <c r="D7" s="4">
        <v>628300</v>
      </c>
      <c r="E7" s="4">
        <v>-263886</v>
      </c>
      <c r="F7" s="4">
        <v>-185000</v>
      </c>
    </row>
    <row r="8" spans="1:6">
      <c r="A8" t="s">
        <v>21</v>
      </c>
      <c r="B8" t="s">
        <v>28</v>
      </c>
      <c r="C8">
        <v>7</v>
      </c>
      <c r="D8" s="4">
        <v>650960</v>
      </c>
      <c r="E8" s="4">
        <v>-273403</v>
      </c>
      <c r="F8" s="4">
        <v>-192000</v>
      </c>
    </row>
    <row r="9" spans="1:6">
      <c r="A9" t="s">
        <v>21</v>
      </c>
      <c r="B9" t="s">
        <v>29</v>
      </c>
      <c r="C9">
        <v>8</v>
      </c>
      <c r="D9" s="4">
        <v>673620</v>
      </c>
      <c r="E9" s="4">
        <v>-282920</v>
      </c>
      <c r="F9" s="4">
        <v>-199000</v>
      </c>
    </row>
    <row r="10" spans="1:6">
      <c r="A10" t="s">
        <v>21</v>
      </c>
      <c r="B10" t="s">
        <v>30</v>
      </c>
      <c r="C10">
        <v>9</v>
      </c>
      <c r="D10" s="4">
        <v>696280</v>
      </c>
      <c r="E10" s="4">
        <v>-292438</v>
      </c>
      <c r="F10" s="4">
        <v>-206000</v>
      </c>
    </row>
    <row r="11" spans="1:6">
      <c r="A11" t="s">
        <v>21</v>
      </c>
      <c r="B11" t="s">
        <v>31</v>
      </c>
      <c r="C11">
        <v>10</v>
      </c>
      <c r="D11" s="4">
        <v>718940</v>
      </c>
      <c r="E11" s="4">
        <v>-301955</v>
      </c>
      <c r="F11" s="4">
        <v>-213000</v>
      </c>
    </row>
    <row r="12" spans="1:6">
      <c r="A12" t="s">
        <v>21</v>
      </c>
      <c r="B12" t="s">
        <v>32</v>
      </c>
      <c r="C12">
        <v>11</v>
      </c>
      <c r="D12" s="4">
        <v>741600</v>
      </c>
      <c r="E12" s="4">
        <v>-311472</v>
      </c>
      <c r="F12" s="4">
        <v>-220000</v>
      </c>
    </row>
    <row r="13" spans="1:6">
      <c r="A13" t="s">
        <v>21</v>
      </c>
      <c r="B13" t="s">
        <v>33</v>
      </c>
      <c r="C13">
        <v>12</v>
      </c>
      <c r="D13" s="4">
        <v>764260</v>
      </c>
      <c r="E13" s="4">
        <v>-320989</v>
      </c>
      <c r="F13" s="4">
        <v>-227000</v>
      </c>
    </row>
    <row r="14" spans="1:6">
      <c r="A14" t="s">
        <v>34</v>
      </c>
      <c r="B14" t="s">
        <v>22</v>
      </c>
      <c r="C14">
        <v>1</v>
      </c>
      <c r="D14" s="4">
        <v>597400</v>
      </c>
      <c r="E14" s="4">
        <v>-250908</v>
      </c>
      <c r="F14" s="4">
        <v>-168000</v>
      </c>
    </row>
    <row r="15" spans="1:6">
      <c r="A15" t="s">
        <v>34</v>
      </c>
      <c r="B15" t="s">
        <v>23</v>
      </c>
      <c r="C15">
        <v>2</v>
      </c>
      <c r="D15" s="4">
        <v>620060</v>
      </c>
      <c r="E15" s="4">
        <v>-260425</v>
      </c>
      <c r="F15" s="4">
        <v>-175000</v>
      </c>
    </row>
    <row r="16" spans="1:6">
      <c r="A16" t="s">
        <v>34</v>
      </c>
      <c r="B16" t="s">
        <v>24</v>
      </c>
      <c r="C16">
        <v>3</v>
      </c>
      <c r="D16" s="4">
        <v>642720</v>
      </c>
      <c r="E16" s="4">
        <v>-269942</v>
      </c>
      <c r="F16" s="4">
        <v>-182000</v>
      </c>
    </row>
    <row r="17" spans="1:6">
      <c r="A17" t="s">
        <v>34</v>
      </c>
      <c r="B17" t="s">
        <v>25</v>
      </c>
      <c r="C17">
        <v>4</v>
      </c>
      <c r="D17" s="4">
        <v>665380</v>
      </c>
      <c r="E17" s="4">
        <v>-279460</v>
      </c>
      <c r="F17" s="4">
        <v>-189000</v>
      </c>
    </row>
    <row r="18" spans="1:6">
      <c r="A18" t="s">
        <v>34</v>
      </c>
      <c r="B18" t="s">
        <v>26</v>
      </c>
      <c r="C18">
        <v>5</v>
      </c>
      <c r="D18" s="4">
        <v>688040</v>
      </c>
      <c r="E18" s="4">
        <v>-288977</v>
      </c>
      <c r="F18" s="4">
        <v>-196000</v>
      </c>
    </row>
    <row r="19" spans="1:6">
      <c r="A19" t="s">
        <v>34</v>
      </c>
      <c r="B19" t="s">
        <v>27</v>
      </c>
      <c r="C19">
        <v>6</v>
      </c>
      <c r="D19" s="4">
        <v>710700</v>
      </c>
      <c r="E19" s="4">
        <v>-298494</v>
      </c>
      <c r="F19" s="4">
        <v>-203000</v>
      </c>
    </row>
    <row r="20" spans="1:6">
      <c r="A20" t="s">
        <v>34</v>
      </c>
      <c r="B20" t="s">
        <v>28</v>
      </c>
      <c r="C20">
        <v>7</v>
      </c>
      <c r="D20" s="4">
        <v>733360</v>
      </c>
      <c r="E20" s="4">
        <v>-308011</v>
      </c>
      <c r="F20" s="4">
        <v>-210000</v>
      </c>
    </row>
    <row r="21" spans="1:6">
      <c r="A21" t="s">
        <v>34</v>
      </c>
      <c r="B21" t="s">
        <v>29</v>
      </c>
      <c r="C21">
        <v>8</v>
      </c>
      <c r="D21" s="4">
        <v>756020</v>
      </c>
      <c r="E21" s="4">
        <v>-317528</v>
      </c>
      <c r="F21" s="4">
        <v>-217000</v>
      </c>
    </row>
    <row r="22" spans="1:6">
      <c r="A22" t="s">
        <v>34</v>
      </c>
      <c r="B22" t="s">
        <v>30</v>
      </c>
      <c r="C22">
        <v>9</v>
      </c>
      <c r="D22" s="4">
        <v>778680</v>
      </c>
      <c r="E22" s="4">
        <v>-327046</v>
      </c>
      <c r="F22" s="4">
        <v>-224000</v>
      </c>
    </row>
    <row r="23" spans="1:6">
      <c r="A23" t="s">
        <v>34</v>
      </c>
      <c r="B23" t="s">
        <v>31</v>
      </c>
      <c r="C23">
        <v>10</v>
      </c>
      <c r="D23" s="4">
        <v>801340</v>
      </c>
      <c r="E23" s="4">
        <v>-336563</v>
      </c>
      <c r="F23" s="4">
        <v>-231000</v>
      </c>
    </row>
    <row r="24" spans="1:6">
      <c r="A24" t="s">
        <v>34</v>
      </c>
      <c r="B24" t="s">
        <v>32</v>
      </c>
      <c r="C24">
        <v>11</v>
      </c>
      <c r="D24" s="4">
        <v>824000</v>
      </c>
      <c r="E24" s="4">
        <v>-346080</v>
      </c>
      <c r="F24" s="4">
        <v>-238000</v>
      </c>
    </row>
    <row r="25" spans="1:6">
      <c r="A25" t="s">
        <v>34</v>
      </c>
      <c r="B25" t="s">
        <v>33</v>
      </c>
      <c r="C25">
        <v>12</v>
      </c>
      <c r="D25" s="4">
        <v>846660</v>
      </c>
      <c r="E25" s="4">
        <v>-355597</v>
      </c>
      <c r="F25" s="4">
        <v>-245000</v>
      </c>
    </row>
    <row r="26" spans="1:6">
      <c r="A26" t="s">
        <v>35</v>
      </c>
      <c r="B26" t="s">
        <v>22</v>
      </c>
      <c r="C26">
        <v>1</v>
      </c>
      <c r="D26" s="4">
        <v>679800</v>
      </c>
      <c r="E26" s="4">
        <v>-285516</v>
      </c>
      <c r="F26" s="4">
        <v>-186000</v>
      </c>
    </row>
    <row r="27" spans="1:6">
      <c r="A27" t="s">
        <v>35</v>
      </c>
      <c r="B27" t="s">
        <v>23</v>
      </c>
      <c r="C27">
        <v>2</v>
      </c>
      <c r="D27" s="4">
        <v>702460</v>
      </c>
      <c r="E27" s="4">
        <v>-295033</v>
      </c>
      <c r="F27" s="4">
        <v>-193000</v>
      </c>
    </row>
    <row r="28" spans="1:6">
      <c r="A28" t="s">
        <v>35</v>
      </c>
      <c r="B28" t="s">
        <v>24</v>
      </c>
      <c r="C28">
        <v>3</v>
      </c>
      <c r="D28" s="4">
        <v>725120</v>
      </c>
      <c r="E28" s="4">
        <v>-304550</v>
      </c>
      <c r="F28" s="4">
        <v>-200000</v>
      </c>
    </row>
    <row r="29" spans="1:6">
      <c r="A29" t="s">
        <v>35</v>
      </c>
      <c r="B29" t="s">
        <v>25</v>
      </c>
      <c r="C29">
        <v>4</v>
      </c>
      <c r="D29" s="4">
        <v>747780</v>
      </c>
      <c r="E29" s="4">
        <v>-314068</v>
      </c>
      <c r="F29" s="4">
        <v>-207000</v>
      </c>
    </row>
    <row r="30" spans="1:6">
      <c r="A30" t="s">
        <v>35</v>
      </c>
      <c r="B30" t="s">
        <v>26</v>
      </c>
      <c r="C30">
        <v>5</v>
      </c>
      <c r="D30" s="4">
        <v>770440</v>
      </c>
      <c r="E30" s="4">
        <v>-323585</v>
      </c>
      <c r="F30" s="4">
        <v>-214000</v>
      </c>
    </row>
    <row r="31" spans="1:6">
      <c r="A31" t="s">
        <v>35</v>
      </c>
      <c r="B31" t="s">
        <v>27</v>
      </c>
      <c r="C31">
        <v>6</v>
      </c>
      <c r="D31" s="4">
        <v>793100</v>
      </c>
      <c r="E31" s="4">
        <v>-333102</v>
      </c>
      <c r="F31" s="4">
        <v>-221000</v>
      </c>
    </row>
    <row r="32" spans="1:6">
      <c r="A32" t="s">
        <v>35</v>
      </c>
      <c r="B32" t="s">
        <v>28</v>
      </c>
      <c r="C32">
        <v>7</v>
      </c>
      <c r="D32" s="4">
        <v>815760</v>
      </c>
      <c r="E32" s="4">
        <v>-342619</v>
      </c>
      <c r="F32" s="4">
        <v>-228000</v>
      </c>
    </row>
    <row r="33" spans="1:6">
      <c r="A33" t="s">
        <v>35</v>
      </c>
      <c r="B33" t="s">
        <v>29</v>
      </c>
      <c r="C33">
        <v>8</v>
      </c>
      <c r="D33" s="4">
        <v>838420</v>
      </c>
      <c r="E33" s="4">
        <v>-352136</v>
      </c>
      <c r="F33" s="4">
        <v>-235000</v>
      </c>
    </row>
    <row r="34" spans="1:6">
      <c r="A34" t="s">
        <v>35</v>
      </c>
      <c r="B34" t="s">
        <v>30</v>
      </c>
      <c r="C34">
        <v>9</v>
      </c>
      <c r="D34" s="4">
        <v>861080</v>
      </c>
      <c r="E34" s="4">
        <v>-361654</v>
      </c>
      <c r="F34" s="4">
        <v>-242000</v>
      </c>
    </row>
    <row r="35" spans="1:6">
      <c r="A35" t="s">
        <v>35</v>
      </c>
      <c r="B35" t="s">
        <v>31</v>
      </c>
      <c r="C35">
        <v>10</v>
      </c>
      <c r="D35" s="4">
        <v>883740</v>
      </c>
      <c r="E35" s="4">
        <v>-371171</v>
      </c>
      <c r="F35" s="4">
        <v>-249000</v>
      </c>
    </row>
    <row r="36" spans="1:6">
      <c r="A36" t="s">
        <v>35</v>
      </c>
      <c r="B36" t="s">
        <v>32</v>
      </c>
      <c r="C36">
        <v>11</v>
      </c>
      <c r="D36" s="4">
        <v>906400</v>
      </c>
      <c r="E36" s="4">
        <v>-380688</v>
      </c>
      <c r="F36" s="4">
        <v>-256000</v>
      </c>
    </row>
    <row r="37" spans="1:6">
      <c r="A37" t="s">
        <v>35</v>
      </c>
      <c r="B37" t="s">
        <v>33</v>
      </c>
      <c r="C37">
        <v>12</v>
      </c>
      <c r="D37" s="4">
        <v>929060</v>
      </c>
      <c r="E37" s="4">
        <v>-390205</v>
      </c>
      <c r="F37" s="4">
        <v>-263000</v>
      </c>
    </row>
    <row r="38" spans="1:6">
      <c r="A38" t="s">
        <v>36</v>
      </c>
      <c r="B38" t="s">
        <v>22</v>
      </c>
      <c r="C38">
        <v>1</v>
      </c>
      <c r="D38" s="4">
        <v>762200</v>
      </c>
      <c r="E38" s="4">
        <v>-320124</v>
      </c>
      <c r="F38" s="4">
        <v>-204000</v>
      </c>
    </row>
    <row r="39" spans="1:6">
      <c r="A39" t="s">
        <v>36</v>
      </c>
      <c r="B39" t="s">
        <v>23</v>
      </c>
      <c r="C39">
        <v>2</v>
      </c>
      <c r="D39" s="4">
        <v>784860</v>
      </c>
      <c r="E39" s="4">
        <v>-329641</v>
      </c>
      <c r="F39" s="4">
        <v>-211000</v>
      </c>
    </row>
    <row r="40" spans="1:6">
      <c r="A40" t="s">
        <v>36</v>
      </c>
      <c r="B40" t="s">
        <v>24</v>
      </c>
      <c r="C40">
        <v>3</v>
      </c>
      <c r="D40" s="4">
        <v>807520</v>
      </c>
      <c r="E40" s="4">
        <v>-339158</v>
      </c>
      <c r="F40" s="4">
        <v>-218000</v>
      </c>
    </row>
    <row r="41" spans="1:6">
      <c r="A41" t="s">
        <v>36</v>
      </c>
      <c r="B41" t="s">
        <v>25</v>
      </c>
      <c r="C41">
        <v>4</v>
      </c>
      <c r="D41" s="4">
        <v>830180</v>
      </c>
      <c r="E41" s="4">
        <v>-348676</v>
      </c>
      <c r="F41" s="4">
        <v>-225000</v>
      </c>
    </row>
    <row r="42" spans="1:6">
      <c r="A42" t="s">
        <v>36</v>
      </c>
      <c r="B42" t="s">
        <v>26</v>
      </c>
      <c r="C42">
        <v>5</v>
      </c>
      <c r="D42" s="4">
        <v>852840</v>
      </c>
      <c r="E42" s="4">
        <v>-358193</v>
      </c>
      <c r="F42" s="4">
        <v>-232000</v>
      </c>
    </row>
    <row r="43" spans="1:6">
      <c r="A43" t="s">
        <v>36</v>
      </c>
      <c r="B43" t="s">
        <v>27</v>
      </c>
      <c r="C43">
        <v>6</v>
      </c>
      <c r="D43" s="4">
        <v>875500</v>
      </c>
      <c r="E43" s="4">
        <v>-367710</v>
      </c>
      <c r="F43" s="4">
        <v>-239000</v>
      </c>
    </row>
    <row r="44" spans="1:6">
      <c r="A44" t="s">
        <v>36</v>
      </c>
      <c r="B44" t="s">
        <v>28</v>
      </c>
      <c r="C44">
        <v>7</v>
      </c>
      <c r="D44" s="4">
        <v>898160</v>
      </c>
      <c r="E44" s="4">
        <v>-377227</v>
      </c>
      <c r="F44" s="4">
        <v>-246000</v>
      </c>
    </row>
    <row r="45" spans="1:6">
      <c r="A45" t="s">
        <v>36</v>
      </c>
      <c r="B45" t="s">
        <v>29</v>
      </c>
      <c r="C45">
        <v>8</v>
      </c>
      <c r="D45" s="4">
        <v>920820</v>
      </c>
      <c r="E45" s="4">
        <v>-386744</v>
      </c>
      <c r="F45" s="4">
        <v>-253000</v>
      </c>
    </row>
    <row r="46" spans="1:6">
      <c r="A46" t="s">
        <v>36</v>
      </c>
      <c r="B46" t="s">
        <v>30</v>
      </c>
      <c r="C46">
        <v>9</v>
      </c>
      <c r="D46" s="4">
        <v>943480</v>
      </c>
      <c r="E46" s="4">
        <v>-396262</v>
      </c>
      <c r="F46" s="4">
        <v>-260000</v>
      </c>
    </row>
    <row r="47" spans="1:6">
      <c r="A47" t="s">
        <v>36</v>
      </c>
      <c r="B47" t="s">
        <v>31</v>
      </c>
      <c r="C47">
        <v>10</v>
      </c>
      <c r="D47" s="4">
        <v>966140</v>
      </c>
      <c r="E47" s="4">
        <v>-405779</v>
      </c>
      <c r="F47" s="4">
        <v>-267000</v>
      </c>
    </row>
    <row r="48" spans="1:6">
      <c r="A48" t="s">
        <v>36</v>
      </c>
      <c r="B48" t="s">
        <v>32</v>
      </c>
      <c r="C48">
        <v>11</v>
      </c>
      <c r="D48" s="4">
        <v>988800</v>
      </c>
      <c r="E48" s="4">
        <v>-415296</v>
      </c>
      <c r="F48" s="4">
        <v>-274000</v>
      </c>
    </row>
    <row r="49" spans="1:6">
      <c r="A49" t="s">
        <v>36</v>
      </c>
      <c r="B49" t="s">
        <v>33</v>
      </c>
      <c r="C49">
        <v>12</v>
      </c>
      <c r="D49" s="4">
        <v>1011460</v>
      </c>
      <c r="E49" s="4">
        <v>-424813</v>
      </c>
      <c r="F49" s="4">
        <v>-281000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20.7109375" customWidth="1"/>
  </cols>
  <sheetData>
    <row r="1" spans="1:3" ht="30" customHeight="1">
      <c r="A1" s="1" t="s">
        <v>37</v>
      </c>
    </row>
    <row r="3" spans="1:3">
      <c r="A3" s="5" t="s">
        <v>38</v>
      </c>
      <c r="B3" s="5" t="s">
        <v>39</v>
      </c>
      <c r="C3" s="5" t="s">
        <v>40</v>
      </c>
    </row>
    <row r="4" spans="1:3">
      <c r="A4" s="6" t="s">
        <v>41</v>
      </c>
      <c r="B4" s="7">
        <v>0.06</v>
      </c>
      <c r="C4" s="6" t="s">
        <v>42</v>
      </c>
    </row>
    <row r="5" spans="1:3">
      <c r="A5" s="6" t="s">
        <v>43</v>
      </c>
      <c r="B5" s="7">
        <v>-0.03</v>
      </c>
      <c r="C5" s="6" t="s">
        <v>42</v>
      </c>
    </row>
    <row r="6" spans="1:3">
      <c r="A6" s="6" t="s">
        <v>44</v>
      </c>
      <c r="B6" s="7">
        <v>0.41</v>
      </c>
      <c r="C6" s="6" t="s">
        <v>42</v>
      </c>
    </row>
    <row r="7" spans="1:3">
      <c r="A7" s="6" t="s">
        <v>45</v>
      </c>
      <c r="B7" s="7">
        <v>0.45</v>
      </c>
      <c r="C7" s="6" t="s">
        <v>42</v>
      </c>
    </row>
    <row r="8" spans="1:3">
      <c r="A8" s="6" t="s">
        <v>46</v>
      </c>
      <c r="B8" s="7">
        <v>0.04</v>
      </c>
      <c r="C8" s="6" t="s">
        <v>42</v>
      </c>
    </row>
    <row r="9" spans="1:3">
      <c r="A9" s="6" t="s">
        <v>47</v>
      </c>
      <c r="B9" s="7">
        <v>0.08</v>
      </c>
      <c r="C9" s="6" t="s">
        <v>42</v>
      </c>
    </row>
    <row r="10" spans="1:3">
      <c r="A10" s="6" t="s">
        <v>48</v>
      </c>
      <c r="B10" s="7">
        <v>0.1</v>
      </c>
      <c r="C10" s="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10" width="16.7109375" customWidth="1"/>
  </cols>
  <sheetData>
    <row r="1" spans="1:10" ht="30" customHeight="1">
      <c r="A1" t="s">
        <v>15</v>
      </c>
      <c r="B1" t="s">
        <v>16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>
      <c r="A2" s="6" t="s">
        <v>21</v>
      </c>
      <c r="B2" s="6" t="s">
        <v>22</v>
      </c>
      <c r="C2" s="4">
        <f>SUMIFS(Actuals!$D:$D,Actuals!$A:$A,A2,Actuals!$B:$B,B2)</f>
        <v>530761</v>
      </c>
      <c r="D2" s="4">
        <f>SUMIFS(Budget!$D:$D,Budget!$A:$A,A2,Budget!$B:$B,B2)</f>
        <v>515000</v>
      </c>
      <c r="E2" s="4">
        <f>C2-D2</f>
        <v>15761</v>
      </c>
      <c r="F2" s="4">
        <f>SUMIFS(Actuals!$D:$D,Actuals!$A:$A,A2,Actuals!$B:$B,B2)+SUMIFS(Actuals!$E:$E,Actuals!$A:$A,A2,Actuals!$B:$B,B2)+SUMIFS(Actuals!$F:$F,Actuals!$A:$A,A2,Actuals!$B:$B,B2)</f>
        <v>143345</v>
      </c>
      <c r="G2" s="4">
        <f>SUMIFS(Budget!$D:$D,Budget!$A:$A,A2,Budget!$B:$B,B2)+SUMIFS(Budget!$E:$E,Budget!$A:$A,A2,Budget!$B:$B,B2)+SUMIFS(Budget!$F:$F,Budget!$A:$A,A2,Budget!$B:$B,B2)</f>
        <v>148700</v>
      </c>
      <c r="H2" s="4">
        <f>F2-G2</f>
        <v>-5355</v>
      </c>
      <c r="I2" s="8">
        <f>IFERROR(E2/D2,0)</f>
        <v>0.03060388349514563</v>
      </c>
      <c r="J2" s="6" t="str">
        <f>IF(ABS(I2)&gt;=5%,"Review","Within threshold")</f>
        <v>Within threshold</v>
      </c>
    </row>
    <row r="3" spans="1:10">
      <c r="A3" s="6" t="s">
        <v>21</v>
      </c>
      <c r="B3" s="6" t="s">
        <v>23</v>
      </c>
      <c r="C3" s="4">
        <f>SUMIFS(Actuals!$D:$D,Actuals!$A:$A,A3,Actuals!$B:$B,B3)</f>
        <v>503518</v>
      </c>
      <c r="D3" s="4">
        <f>SUMIFS(Budget!$D:$D,Budget!$A:$A,A3,Budget!$B:$B,B3)</f>
        <v>537660</v>
      </c>
      <c r="E3" s="4">
        <f>C3-D3</f>
        <v>-34142</v>
      </c>
      <c r="F3" s="4">
        <f>SUMIFS(Actuals!$D:$D,Actuals!$A:$A,A3,Actuals!$B:$B,B3)+SUMIFS(Actuals!$E:$E,Actuals!$A:$A,A3,Actuals!$B:$B,B3)+SUMIFS(Actuals!$F:$F,Actuals!$A:$A,A3,Actuals!$B:$B,B3)</f>
        <v>137948</v>
      </c>
      <c r="G3" s="4">
        <f>SUMIFS(Budget!$D:$D,Budget!$A:$A,A3,Budget!$B:$B,B3)+SUMIFS(Budget!$E:$E,Budget!$A:$A,A3,Budget!$B:$B,B3)+SUMIFS(Budget!$F:$F,Budget!$A:$A,A3,Budget!$B:$B,B3)</f>
        <v>154843</v>
      </c>
      <c r="H3" s="4">
        <f>F3-G3</f>
        <v>-16895</v>
      </c>
      <c r="I3" s="8">
        <f>IFERROR(E3/D3,0)</f>
        <v>-0.06350109734776625</v>
      </c>
      <c r="J3" s="6" t="str">
        <f>IF(ABS(I3)&gt;=5%,"Review","Within threshold")</f>
        <v>Review</v>
      </c>
    </row>
    <row r="4" spans="1:10">
      <c r="A4" s="6" t="s">
        <v>21</v>
      </c>
      <c r="B4" s="6" t="s">
        <v>24</v>
      </c>
      <c r="C4" s="4">
        <f>SUMIFS(Actuals!$D:$D,Actuals!$A:$A,A4,Actuals!$B:$B,B4)</f>
        <v>589110</v>
      </c>
      <c r="D4" s="4">
        <f>SUMIFS(Budget!$D:$D,Budget!$A:$A,A4,Budget!$B:$B,B4)</f>
        <v>560320</v>
      </c>
      <c r="E4" s="4">
        <f>C4-D4</f>
        <v>28790</v>
      </c>
      <c r="F4" s="4">
        <f>SUMIFS(Actuals!$D:$D,Actuals!$A:$A,A4,Actuals!$B:$B,B4)+SUMIFS(Actuals!$E:$E,Actuals!$A:$A,A4,Actuals!$B:$B,B4)+SUMIFS(Actuals!$F:$F,Actuals!$A:$A,A4,Actuals!$B:$B,B4)</f>
        <v>164648</v>
      </c>
      <c r="G4" s="4">
        <f>SUMIFS(Budget!$D:$D,Budget!$A:$A,A4,Budget!$B:$B,B4)+SUMIFS(Budget!$E:$E,Budget!$A:$A,A4,Budget!$B:$B,B4)+SUMIFS(Budget!$F:$F,Budget!$A:$A,A4,Budget!$B:$B,B4)</f>
        <v>160986</v>
      </c>
      <c r="H4" s="4">
        <f>F4-G4</f>
        <v>3662</v>
      </c>
      <c r="I4" s="8">
        <f>IFERROR(E4/D4,0)</f>
        <v>0.051381353512278696</v>
      </c>
      <c r="J4" s="6" t="str">
        <f>IF(ABS(I4)&gt;=5%,"Review","Within threshold")</f>
        <v>Review</v>
      </c>
    </row>
    <row r="5" spans="1:10">
      <c r="A5" s="6" t="s">
        <v>21</v>
      </c>
      <c r="B5" s="6" t="s">
        <v>25</v>
      </c>
      <c r="C5" s="4">
        <f>SUMIFS(Actuals!$D:$D,Actuals!$A:$A,A5,Actuals!$B:$B,B5)</f>
        <v>537914</v>
      </c>
      <c r="D5" s="4">
        <f>SUMIFS(Budget!$D:$D,Budget!$A:$A,A5,Budget!$B:$B,B5)</f>
        <v>582980</v>
      </c>
      <c r="E5" s="4">
        <f>C5-D5</f>
        <v>-45066</v>
      </c>
      <c r="F5" s="4">
        <f>SUMIFS(Actuals!$D:$D,Actuals!$A:$A,A5,Actuals!$B:$B,B5)+SUMIFS(Actuals!$E:$E,Actuals!$A:$A,A5,Actuals!$B:$B,B5)+SUMIFS(Actuals!$F:$F,Actuals!$A:$A,A5,Actuals!$B:$B,B5)</f>
        <v>129573</v>
      </c>
      <c r="G5" s="4">
        <f>SUMIFS(Budget!$D:$D,Budget!$A:$A,A5,Budget!$B:$B,B5)+SUMIFS(Budget!$E:$E,Budget!$A:$A,A5,Budget!$B:$B,B5)+SUMIFS(Budget!$F:$F,Budget!$A:$A,A5,Budget!$B:$B,B5)</f>
        <v>167128</v>
      </c>
      <c r="H5" s="4">
        <f>F5-G5</f>
        <v>-37555</v>
      </c>
      <c r="I5" s="8">
        <f>IFERROR(E5/D5,0)</f>
        <v>-0.07730282342447425</v>
      </c>
      <c r="J5" s="6" t="str">
        <f>IF(ABS(I5)&gt;=5%,"Review","Within threshold")</f>
        <v>Review</v>
      </c>
    </row>
    <row r="6" spans="1:10">
      <c r="A6" s="6" t="s">
        <v>21</v>
      </c>
      <c r="B6" s="6" t="s">
        <v>26</v>
      </c>
      <c r="C6" s="4">
        <f>SUMIFS(Actuals!$D:$D,Actuals!$A:$A,A6,Actuals!$B:$B,B6)</f>
        <v>542347</v>
      </c>
      <c r="D6" s="4">
        <f>SUMIFS(Budget!$D:$D,Budget!$A:$A,A6,Budget!$B:$B,B6)</f>
        <v>605640</v>
      </c>
      <c r="E6" s="4">
        <f>C6-D6</f>
        <v>-63293</v>
      </c>
      <c r="F6" s="4">
        <f>SUMIFS(Actuals!$D:$D,Actuals!$A:$A,A6,Actuals!$B:$B,B6)+SUMIFS(Actuals!$E:$E,Actuals!$A:$A,A6,Actuals!$B:$B,B6)+SUMIFS(Actuals!$F:$F,Actuals!$A:$A,A6,Actuals!$B:$B,B6)</f>
        <v>143588</v>
      </c>
      <c r="G6" s="4">
        <f>SUMIFS(Budget!$D:$D,Budget!$A:$A,A6,Budget!$B:$B,B6)+SUMIFS(Budget!$E:$E,Budget!$A:$A,A6,Budget!$B:$B,B6)+SUMIFS(Budget!$F:$F,Budget!$A:$A,A6,Budget!$B:$B,B6)</f>
        <v>173271</v>
      </c>
      <c r="H6" s="4">
        <f>F6-G6</f>
        <v>-29683</v>
      </c>
      <c r="I6" s="8">
        <f>IFERROR(E6/D6,0)</f>
        <v>-0.1045059771481408</v>
      </c>
      <c r="J6" s="6" t="str">
        <f>IF(ABS(I6)&gt;=5%,"Review","Within threshold")</f>
        <v>Review</v>
      </c>
    </row>
    <row r="7" spans="1:10">
      <c r="A7" s="6" t="s">
        <v>21</v>
      </c>
      <c r="B7" s="6" t="s">
        <v>27</v>
      </c>
      <c r="C7" s="4">
        <f>SUMIFS(Actuals!$D:$D,Actuals!$A:$A,A7,Actuals!$B:$B,B7)</f>
        <v>608028</v>
      </c>
      <c r="D7" s="4">
        <f>SUMIFS(Budget!$D:$D,Budget!$A:$A,A7,Budget!$B:$B,B7)</f>
        <v>628300</v>
      </c>
      <c r="E7" s="4">
        <f>C7-D7</f>
        <v>-20272</v>
      </c>
      <c r="F7" s="4">
        <f>SUMIFS(Actuals!$D:$D,Actuals!$A:$A,A7,Actuals!$B:$B,B7)+SUMIFS(Actuals!$E:$E,Actuals!$A:$A,A7,Actuals!$B:$B,B7)+SUMIFS(Actuals!$F:$F,Actuals!$A:$A,A7,Actuals!$B:$B,B7)</f>
        <v>165403</v>
      </c>
      <c r="G7" s="4">
        <f>SUMIFS(Budget!$D:$D,Budget!$A:$A,A7,Budget!$B:$B,B7)+SUMIFS(Budget!$E:$E,Budget!$A:$A,A7,Budget!$B:$B,B7)+SUMIFS(Budget!$F:$F,Budget!$A:$A,A7,Budget!$B:$B,B7)</f>
        <v>179414</v>
      </c>
      <c r="H7" s="4">
        <f>F7-G7</f>
        <v>-14011</v>
      </c>
      <c r="I7" s="8">
        <f>IFERROR(E7/D7,0)</f>
        <v>-0.03226484163616107</v>
      </c>
      <c r="J7" s="6" t="str">
        <f>IF(ABS(I7)&gt;=5%,"Review","Within threshold")</f>
        <v>Within threshold</v>
      </c>
    </row>
    <row r="8" spans="1:10">
      <c r="A8" s="6" t="s">
        <v>21</v>
      </c>
      <c r="B8" s="6" t="s">
        <v>28</v>
      </c>
      <c r="C8" s="4">
        <f>SUMIFS(Actuals!$D:$D,Actuals!$A:$A,A8,Actuals!$B:$B,B8)</f>
        <v>644804</v>
      </c>
      <c r="D8" s="4">
        <f>SUMIFS(Budget!$D:$D,Budget!$A:$A,A8,Budget!$B:$B,B8)</f>
        <v>650960</v>
      </c>
      <c r="E8" s="4">
        <f>C8-D8</f>
        <v>-6156</v>
      </c>
      <c r="F8" s="4">
        <f>SUMIFS(Actuals!$D:$D,Actuals!$A:$A,A8,Actuals!$B:$B,B8)+SUMIFS(Actuals!$E:$E,Actuals!$A:$A,A8,Actuals!$B:$B,B8)+SUMIFS(Actuals!$F:$F,Actuals!$A:$A,A8,Actuals!$B:$B,B8)</f>
        <v>196992</v>
      </c>
      <c r="G8" s="4">
        <f>SUMIFS(Budget!$D:$D,Budget!$A:$A,A8,Budget!$B:$B,B8)+SUMIFS(Budget!$E:$E,Budget!$A:$A,A8,Budget!$B:$B,B8)+SUMIFS(Budget!$F:$F,Budget!$A:$A,A8,Budget!$B:$B,B8)</f>
        <v>185557</v>
      </c>
      <c r="H8" s="4">
        <f>F8-G8</f>
        <v>11435</v>
      </c>
      <c r="I8" s="8">
        <f>IFERROR(E8/D8,0)</f>
        <v>-0.009456802261275654</v>
      </c>
      <c r="J8" s="6" t="str">
        <f>IF(ABS(I8)&gt;=5%,"Review","Within threshold")</f>
        <v>Within threshold</v>
      </c>
    </row>
    <row r="9" spans="1:10">
      <c r="A9" s="6" t="s">
        <v>21</v>
      </c>
      <c r="B9" s="6" t="s">
        <v>29</v>
      </c>
      <c r="C9" s="4">
        <f>SUMIFS(Actuals!$D:$D,Actuals!$A:$A,A9,Actuals!$B:$B,B9)</f>
        <v>615036</v>
      </c>
      <c r="D9" s="4">
        <f>SUMIFS(Budget!$D:$D,Budget!$A:$A,A9,Budget!$B:$B,B9)</f>
        <v>673620</v>
      </c>
      <c r="E9" s="4">
        <f>C9-D9</f>
        <v>-58584</v>
      </c>
      <c r="F9" s="4">
        <f>SUMIFS(Actuals!$D:$D,Actuals!$A:$A,A9,Actuals!$B:$B,B9)+SUMIFS(Actuals!$E:$E,Actuals!$A:$A,A9,Actuals!$B:$B,B9)+SUMIFS(Actuals!$F:$F,Actuals!$A:$A,A9,Actuals!$B:$B,B9)</f>
        <v>142699</v>
      </c>
      <c r="G9" s="4">
        <f>SUMIFS(Budget!$D:$D,Budget!$A:$A,A9,Budget!$B:$B,B9)+SUMIFS(Budget!$E:$E,Budget!$A:$A,A9,Budget!$B:$B,B9)+SUMIFS(Budget!$F:$F,Budget!$A:$A,A9,Budget!$B:$B,B9)</f>
        <v>191700</v>
      </c>
      <c r="H9" s="4">
        <f>F9-G9</f>
        <v>-49001</v>
      </c>
      <c r="I9" s="8">
        <f>IFERROR(E9/D9,0)</f>
        <v>-0.08696891422463704</v>
      </c>
      <c r="J9" s="6" t="str">
        <f>IF(ABS(I9)&gt;=5%,"Review","Within threshold")</f>
        <v>Review</v>
      </c>
    </row>
    <row r="10" spans="1:10">
      <c r="A10" s="6" t="s">
        <v>21</v>
      </c>
      <c r="B10" s="6" t="s">
        <v>30</v>
      </c>
      <c r="C10" s="4">
        <f>SUMIFS(Actuals!$D:$D,Actuals!$A:$A,A10,Actuals!$B:$B,B10)</f>
        <v>648361</v>
      </c>
      <c r="D10" s="4">
        <f>SUMIFS(Budget!$D:$D,Budget!$A:$A,A10,Budget!$B:$B,B10)</f>
        <v>696280</v>
      </c>
      <c r="E10" s="4">
        <f>C10-D10</f>
        <v>-47919</v>
      </c>
      <c r="F10" s="4">
        <f>SUMIFS(Actuals!$D:$D,Actuals!$A:$A,A10,Actuals!$B:$B,B10)+SUMIFS(Actuals!$E:$E,Actuals!$A:$A,A10,Actuals!$B:$B,B10)+SUMIFS(Actuals!$F:$F,Actuals!$A:$A,A10,Actuals!$B:$B,B10)</f>
        <v>166621</v>
      </c>
      <c r="G10" s="4">
        <f>SUMIFS(Budget!$D:$D,Budget!$A:$A,A10,Budget!$B:$B,B10)+SUMIFS(Budget!$E:$E,Budget!$A:$A,A10,Budget!$B:$B,B10)+SUMIFS(Budget!$F:$F,Budget!$A:$A,A10,Budget!$B:$B,B10)</f>
        <v>197842</v>
      </c>
      <c r="H10" s="4">
        <f>F10-G10</f>
        <v>-31221</v>
      </c>
      <c r="I10" s="8">
        <f>IFERROR(E10/D10,0)</f>
        <v>-0.06882145114034584</v>
      </c>
      <c r="J10" s="6" t="str">
        <f>IF(ABS(I10)&gt;=5%,"Review","Within threshold")</f>
        <v>Review</v>
      </c>
    </row>
    <row r="11" spans="1:10">
      <c r="A11" s="6" t="s">
        <v>21</v>
      </c>
      <c r="B11" s="6" t="s">
        <v>31</v>
      </c>
      <c r="C11" s="4">
        <f>SUMIFS(Actuals!$D:$D,Actuals!$A:$A,A11,Actuals!$B:$B,B11)</f>
        <v>750496</v>
      </c>
      <c r="D11" s="4">
        <f>SUMIFS(Budget!$D:$D,Budget!$A:$A,A11,Budget!$B:$B,B11)</f>
        <v>718940</v>
      </c>
      <c r="E11" s="4">
        <f>C11-D11</f>
        <v>31556</v>
      </c>
      <c r="F11" s="4">
        <f>SUMIFS(Actuals!$D:$D,Actuals!$A:$A,A11,Actuals!$B:$B,B11)+SUMIFS(Actuals!$E:$E,Actuals!$A:$A,A11,Actuals!$B:$B,B11)+SUMIFS(Actuals!$F:$F,Actuals!$A:$A,A11,Actuals!$B:$B,B11)</f>
        <v>230727</v>
      </c>
      <c r="G11" s="4">
        <f>SUMIFS(Budget!$D:$D,Budget!$A:$A,A11,Budget!$B:$B,B11)+SUMIFS(Budget!$E:$E,Budget!$A:$A,A11,Budget!$B:$B,B11)+SUMIFS(Budget!$F:$F,Budget!$A:$A,A11,Budget!$B:$B,B11)</f>
        <v>203985</v>
      </c>
      <c r="H11" s="4">
        <f>F11-G11</f>
        <v>26742</v>
      </c>
      <c r="I11" s="8">
        <f>IFERROR(E11/D11,0)</f>
        <v>0.043892397140234234</v>
      </c>
      <c r="J11" s="6" t="str">
        <f>IF(ABS(I11)&gt;=5%,"Review","Within threshold")</f>
        <v>Within threshold</v>
      </c>
    </row>
    <row r="12" spans="1:10">
      <c r="A12" s="6" t="s">
        <v>21</v>
      </c>
      <c r="B12" s="6" t="s">
        <v>32</v>
      </c>
      <c r="C12" s="4">
        <f>SUMIFS(Actuals!$D:$D,Actuals!$A:$A,A12,Actuals!$B:$B,B12)</f>
        <v>765301</v>
      </c>
      <c r="D12" s="4">
        <f>SUMIFS(Budget!$D:$D,Budget!$A:$A,A12,Budget!$B:$B,B12)</f>
        <v>741600</v>
      </c>
      <c r="E12" s="4">
        <f>C12-D12</f>
        <v>23701</v>
      </c>
      <c r="F12" s="4">
        <f>SUMIFS(Actuals!$D:$D,Actuals!$A:$A,A12,Actuals!$B:$B,B12)+SUMIFS(Actuals!$E:$E,Actuals!$A:$A,A12,Actuals!$B:$B,B12)+SUMIFS(Actuals!$F:$F,Actuals!$A:$A,A12,Actuals!$B:$B,B12)</f>
        <v>233168</v>
      </c>
      <c r="G12" s="4">
        <f>SUMIFS(Budget!$D:$D,Budget!$A:$A,A12,Budget!$B:$B,B12)+SUMIFS(Budget!$E:$E,Budget!$A:$A,A12,Budget!$B:$B,B12)+SUMIFS(Budget!$F:$F,Budget!$A:$A,A12,Budget!$B:$B,B12)</f>
        <v>210128</v>
      </c>
      <c r="H12" s="4">
        <f>F12-G12</f>
        <v>23040</v>
      </c>
      <c r="I12" s="8">
        <f>IFERROR(E12/D12,0)</f>
        <v>0.03195927723840345</v>
      </c>
      <c r="J12" s="6" t="str">
        <f>IF(ABS(I12)&gt;=5%,"Review","Within threshold")</f>
        <v>Within threshold</v>
      </c>
    </row>
    <row r="13" spans="1:10">
      <c r="A13" s="6" t="s">
        <v>21</v>
      </c>
      <c r="B13" s="6" t="s">
        <v>33</v>
      </c>
      <c r="C13" s="4">
        <f>SUMIFS(Actuals!$D:$D,Actuals!$A:$A,A13,Actuals!$B:$B,B13)</f>
        <v>733603</v>
      </c>
      <c r="D13" s="4">
        <f>SUMIFS(Budget!$D:$D,Budget!$A:$A,A13,Budget!$B:$B,B13)</f>
        <v>764260</v>
      </c>
      <c r="E13" s="4">
        <f>C13-D13</f>
        <v>-30657</v>
      </c>
      <c r="F13" s="4">
        <f>SUMIFS(Actuals!$D:$D,Actuals!$A:$A,A13,Actuals!$B:$B,B13)+SUMIFS(Actuals!$E:$E,Actuals!$A:$A,A13,Actuals!$B:$B,B13)+SUMIFS(Actuals!$F:$F,Actuals!$A:$A,A13,Actuals!$B:$B,B13)</f>
        <v>205738</v>
      </c>
      <c r="G13" s="4">
        <f>SUMIFS(Budget!$D:$D,Budget!$A:$A,A13,Budget!$B:$B,B13)+SUMIFS(Budget!$E:$E,Budget!$A:$A,A13,Budget!$B:$B,B13)+SUMIFS(Budget!$F:$F,Budget!$A:$A,A13,Budget!$B:$B,B13)</f>
        <v>216271</v>
      </c>
      <c r="H13" s="4">
        <f>F13-G13</f>
        <v>-10533</v>
      </c>
      <c r="I13" s="8">
        <f>IFERROR(E13/D13,0)</f>
        <v>-0.04011331222358883</v>
      </c>
      <c r="J13" s="6" t="str">
        <f>IF(ABS(I13)&gt;=5%,"Review","Within threshold")</f>
        <v>Within threshold</v>
      </c>
    </row>
    <row r="14" spans="1:10">
      <c r="A14" s="6" t="s">
        <v>34</v>
      </c>
      <c r="B14" s="6" t="s">
        <v>22</v>
      </c>
      <c r="C14" s="4">
        <f>SUMIFS(Actuals!$D:$D,Actuals!$A:$A,A14,Actuals!$B:$B,B14)</f>
        <v>564462</v>
      </c>
      <c r="D14" s="4">
        <f>SUMIFS(Budget!$D:$D,Budget!$A:$A,A14,Budget!$B:$B,B14)</f>
        <v>597400</v>
      </c>
      <c r="E14" s="4">
        <f>C14-D14</f>
        <v>-32938</v>
      </c>
      <c r="F14" s="4">
        <f>SUMIFS(Actuals!$D:$D,Actuals!$A:$A,A14,Actuals!$B:$B,B14)+SUMIFS(Actuals!$E:$E,Actuals!$A:$A,A14,Actuals!$B:$B,B14)+SUMIFS(Actuals!$F:$F,Actuals!$A:$A,A14,Actuals!$B:$B,B14)</f>
        <v>172715</v>
      </c>
      <c r="G14" s="4">
        <f>SUMIFS(Budget!$D:$D,Budget!$A:$A,A14,Budget!$B:$B,B14)+SUMIFS(Budget!$E:$E,Budget!$A:$A,A14,Budget!$B:$B,B14)+SUMIFS(Budget!$F:$F,Budget!$A:$A,A14,Budget!$B:$B,B14)</f>
        <v>178492</v>
      </c>
      <c r="H14" s="4">
        <f>F14-G14</f>
        <v>-5777</v>
      </c>
      <c r="I14" s="8">
        <f>IFERROR(E14/D14,0)</f>
        <v>-0.05513558754603281</v>
      </c>
      <c r="J14" s="6" t="str">
        <f>IF(ABS(I14)&gt;=5%,"Review","Within threshold")</f>
        <v>Review</v>
      </c>
    </row>
    <row r="15" spans="1:10">
      <c r="A15" s="6" t="s">
        <v>34</v>
      </c>
      <c r="B15" s="6" t="s">
        <v>23</v>
      </c>
      <c r="C15" s="4">
        <f>SUMIFS(Actuals!$D:$D,Actuals!$A:$A,A15,Actuals!$B:$B,B15)</f>
        <v>599919</v>
      </c>
      <c r="D15" s="4">
        <f>SUMIFS(Budget!$D:$D,Budget!$A:$A,A15,Budget!$B:$B,B15)</f>
        <v>620060</v>
      </c>
      <c r="E15" s="4">
        <f>C15-D15</f>
        <v>-20141</v>
      </c>
      <c r="F15" s="4">
        <f>SUMIFS(Actuals!$D:$D,Actuals!$A:$A,A15,Actuals!$B:$B,B15)+SUMIFS(Actuals!$E:$E,Actuals!$A:$A,A15,Actuals!$B:$B,B15)+SUMIFS(Actuals!$F:$F,Actuals!$A:$A,A15,Actuals!$B:$B,B15)</f>
        <v>184560</v>
      </c>
      <c r="G15" s="4">
        <f>SUMIFS(Budget!$D:$D,Budget!$A:$A,A15,Budget!$B:$B,B15)+SUMIFS(Budget!$E:$E,Budget!$A:$A,A15,Budget!$B:$B,B15)+SUMIFS(Budget!$F:$F,Budget!$A:$A,A15,Budget!$B:$B,B15)</f>
        <v>184635</v>
      </c>
      <c r="H15" s="4">
        <f>F15-G15</f>
        <v>-75</v>
      </c>
      <c r="I15" s="8">
        <f>IFERROR(E15/D15,0)</f>
        <v>-0.03248234041866916</v>
      </c>
      <c r="J15" s="6" t="str">
        <f>IF(ABS(I15)&gt;=5%,"Review","Within threshold")</f>
        <v>Within threshold</v>
      </c>
    </row>
    <row r="16" spans="1:10">
      <c r="A16" s="6" t="s">
        <v>34</v>
      </c>
      <c r="B16" s="6" t="s">
        <v>24</v>
      </c>
      <c r="C16" s="4">
        <f>SUMIFS(Actuals!$D:$D,Actuals!$A:$A,A16,Actuals!$B:$B,B16)</f>
        <v>618371</v>
      </c>
      <c r="D16" s="4">
        <f>SUMIFS(Budget!$D:$D,Budget!$A:$A,A16,Budget!$B:$B,B16)</f>
        <v>642720</v>
      </c>
      <c r="E16" s="4">
        <f>C16-D16</f>
        <v>-24349</v>
      </c>
      <c r="F16" s="4">
        <f>SUMIFS(Actuals!$D:$D,Actuals!$A:$A,A16,Actuals!$B:$B,B16)+SUMIFS(Actuals!$E:$E,Actuals!$A:$A,A16,Actuals!$B:$B,B16)+SUMIFS(Actuals!$F:$F,Actuals!$A:$A,A16,Actuals!$B:$B,B16)</f>
        <v>176763</v>
      </c>
      <c r="G16" s="4">
        <f>SUMIFS(Budget!$D:$D,Budget!$A:$A,A16,Budget!$B:$B,B16)+SUMIFS(Budget!$E:$E,Budget!$A:$A,A16,Budget!$B:$B,B16)+SUMIFS(Budget!$F:$F,Budget!$A:$A,A16,Budget!$B:$B,B16)</f>
        <v>190778</v>
      </c>
      <c r="H16" s="4">
        <f>F16-G16</f>
        <v>-14015</v>
      </c>
      <c r="I16" s="8">
        <f>IFERROR(E16/D16,0)</f>
        <v>-0.03788430420711974</v>
      </c>
      <c r="J16" s="6" t="str">
        <f>IF(ABS(I16)&gt;=5%,"Review","Within threshold")</f>
        <v>Within threshold</v>
      </c>
    </row>
    <row r="17" spans="1:10">
      <c r="A17" s="6" t="s">
        <v>34</v>
      </c>
      <c r="B17" s="6" t="s">
        <v>25</v>
      </c>
      <c r="C17" s="4">
        <f>SUMIFS(Actuals!$D:$D,Actuals!$A:$A,A17,Actuals!$B:$B,B17)</f>
        <v>645760</v>
      </c>
      <c r="D17" s="4">
        <f>SUMIFS(Budget!$D:$D,Budget!$A:$A,A17,Budget!$B:$B,B17)</f>
        <v>665380</v>
      </c>
      <c r="E17" s="4">
        <f>C17-D17</f>
        <v>-19620</v>
      </c>
      <c r="F17" s="4">
        <f>SUMIFS(Actuals!$D:$D,Actuals!$A:$A,A17,Actuals!$B:$B,B17)+SUMIFS(Actuals!$E:$E,Actuals!$A:$A,A17,Actuals!$B:$B,B17)+SUMIFS(Actuals!$F:$F,Actuals!$A:$A,A17,Actuals!$B:$B,B17)</f>
        <v>183535</v>
      </c>
      <c r="G17" s="4">
        <f>SUMIFS(Budget!$D:$D,Budget!$A:$A,A17,Budget!$B:$B,B17)+SUMIFS(Budget!$E:$E,Budget!$A:$A,A17,Budget!$B:$B,B17)+SUMIFS(Budget!$F:$F,Budget!$A:$A,A17,Budget!$B:$B,B17)</f>
        <v>196920</v>
      </c>
      <c r="H17" s="4">
        <f>F17-G17</f>
        <v>-13385</v>
      </c>
      <c r="I17" s="8">
        <f>IFERROR(E17/D17,0)</f>
        <v>-0.029486909735790073</v>
      </c>
      <c r="J17" s="6" t="str">
        <f>IF(ABS(I17)&gt;=5%,"Review","Within threshold")</f>
        <v>Within threshold</v>
      </c>
    </row>
    <row r="18" spans="1:10">
      <c r="A18" s="6" t="s">
        <v>34</v>
      </c>
      <c r="B18" s="6" t="s">
        <v>26</v>
      </c>
      <c r="C18" s="4">
        <f>SUMIFS(Actuals!$D:$D,Actuals!$A:$A,A18,Actuals!$B:$B,B18)</f>
        <v>709030</v>
      </c>
      <c r="D18" s="4">
        <f>SUMIFS(Budget!$D:$D,Budget!$A:$A,A18,Budget!$B:$B,B18)</f>
        <v>688040</v>
      </c>
      <c r="E18" s="4">
        <f>C18-D18</f>
        <v>20990</v>
      </c>
      <c r="F18" s="4">
        <f>SUMIFS(Actuals!$D:$D,Actuals!$A:$A,A18,Actuals!$B:$B,B18)+SUMIFS(Actuals!$E:$E,Actuals!$A:$A,A18,Actuals!$B:$B,B18)+SUMIFS(Actuals!$F:$F,Actuals!$A:$A,A18,Actuals!$B:$B,B18)</f>
        <v>219309</v>
      </c>
      <c r="G18" s="4">
        <f>SUMIFS(Budget!$D:$D,Budget!$A:$A,A18,Budget!$B:$B,B18)+SUMIFS(Budget!$E:$E,Budget!$A:$A,A18,Budget!$B:$B,B18)+SUMIFS(Budget!$F:$F,Budget!$A:$A,A18,Budget!$B:$B,B18)</f>
        <v>203063</v>
      </c>
      <c r="H18" s="4">
        <f>F18-G18</f>
        <v>16246</v>
      </c>
      <c r="I18" s="8">
        <f>IFERROR(E18/D18,0)</f>
        <v>0.03050694727050753</v>
      </c>
      <c r="J18" s="6" t="str">
        <f>IF(ABS(I18)&gt;=5%,"Review","Within threshold")</f>
        <v>Within threshold</v>
      </c>
    </row>
    <row r="19" spans="1:10">
      <c r="A19" s="6" t="s">
        <v>34</v>
      </c>
      <c r="B19" s="6" t="s">
        <v>27</v>
      </c>
      <c r="C19" s="4">
        <f>SUMIFS(Actuals!$D:$D,Actuals!$A:$A,A19,Actuals!$B:$B,B19)</f>
        <v>670284</v>
      </c>
      <c r="D19" s="4">
        <f>SUMIFS(Budget!$D:$D,Budget!$A:$A,A19,Budget!$B:$B,B19)</f>
        <v>710700</v>
      </c>
      <c r="E19" s="4">
        <f>C19-D19</f>
        <v>-40416</v>
      </c>
      <c r="F19" s="4">
        <f>SUMIFS(Actuals!$D:$D,Actuals!$A:$A,A19,Actuals!$B:$B,B19)+SUMIFS(Actuals!$E:$E,Actuals!$A:$A,A19,Actuals!$B:$B,B19)+SUMIFS(Actuals!$F:$F,Actuals!$A:$A,A19,Actuals!$B:$B,B19)</f>
        <v>164008</v>
      </c>
      <c r="G19" s="4">
        <f>SUMIFS(Budget!$D:$D,Budget!$A:$A,A19,Budget!$B:$B,B19)+SUMIFS(Budget!$E:$E,Budget!$A:$A,A19,Budget!$B:$B,B19)+SUMIFS(Budget!$F:$F,Budget!$A:$A,A19,Budget!$B:$B,B19)</f>
        <v>209206</v>
      </c>
      <c r="H19" s="4">
        <f>F19-G19</f>
        <v>-45198</v>
      </c>
      <c r="I19" s="8">
        <f>IFERROR(E19/D19,0)</f>
        <v>-0.05686787674124103</v>
      </c>
      <c r="J19" s="6" t="str">
        <f>IF(ABS(I19)&gt;=5%,"Review","Within threshold")</f>
        <v>Review</v>
      </c>
    </row>
    <row r="20" spans="1:10">
      <c r="A20" s="6" t="s">
        <v>34</v>
      </c>
      <c r="B20" s="6" t="s">
        <v>28</v>
      </c>
      <c r="C20" s="4">
        <f>SUMIFS(Actuals!$D:$D,Actuals!$A:$A,A20,Actuals!$B:$B,B20)</f>
        <v>724687</v>
      </c>
      <c r="D20" s="4">
        <f>SUMIFS(Budget!$D:$D,Budget!$A:$A,A20,Budget!$B:$B,B20)</f>
        <v>733360</v>
      </c>
      <c r="E20" s="4">
        <f>C20-D20</f>
        <v>-8673</v>
      </c>
      <c r="F20" s="4">
        <f>SUMIFS(Actuals!$D:$D,Actuals!$A:$A,A20,Actuals!$B:$B,B20)+SUMIFS(Actuals!$E:$E,Actuals!$A:$A,A20,Actuals!$B:$B,B20)+SUMIFS(Actuals!$F:$F,Actuals!$A:$A,A20,Actuals!$B:$B,B20)</f>
        <v>219725</v>
      </c>
      <c r="G20" s="4">
        <f>SUMIFS(Budget!$D:$D,Budget!$A:$A,A20,Budget!$B:$B,B20)+SUMIFS(Budget!$E:$E,Budget!$A:$A,A20,Budget!$B:$B,B20)+SUMIFS(Budget!$F:$F,Budget!$A:$A,A20,Budget!$B:$B,B20)</f>
        <v>215349</v>
      </c>
      <c r="H20" s="4">
        <f>F20-G20</f>
        <v>4376</v>
      </c>
      <c r="I20" s="8">
        <f>IFERROR(E20/D20,0)</f>
        <v>-0.011826388131340678</v>
      </c>
      <c r="J20" s="6" t="str">
        <f>IF(ABS(I20)&gt;=5%,"Review","Within threshold")</f>
        <v>Within threshold</v>
      </c>
    </row>
    <row r="21" spans="1:10">
      <c r="A21" s="6" t="s">
        <v>34</v>
      </c>
      <c r="B21" s="6" t="s">
        <v>29</v>
      </c>
      <c r="C21" s="4">
        <f>SUMIFS(Actuals!$D:$D,Actuals!$A:$A,A21,Actuals!$B:$B,B21)</f>
        <v>712064</v>
      </c>
      <c r="D21" s="4">
        <f>SUMIFS(Budget!$D:$D,Budget!$A:$A,A21,Budget!$B:$B,B21)</f>
        <v>756020</v>
      </c>
      <c r="E21" s="4">
        <f>C21-D21</f>
        <v>-43956</v>
      </c>
      <c r="F21" s="4">
        <f>SUMIFS(Actuals!$D:$D,Actuals!$A:$A,A21,Actuals!$B:$B,B21)+SUMIFS(Actuals!$E:$E,Actuals!$A:$A,A21,Actuals!$B:$B,B21)+SUMIFS(Actuals!$F:$F,Actuals!$A:$A,A21,Actuals!$B:$B,B21)</f>
        <v>209538</v>
      </c>
      <c r="G21" s="4">
        <f>SUMIFS(Budget!$D:$D,Budget!$A:$A,A21,Budget!$B:$B,B21)+SUMIFS(Budget!$E:$E,Budget!$A:$A,A21,Budget!$B:$B,B21)+SUMIFS(Budget!$F:$F,Budget!$A:$A,A21,Budget!$B:$B,B21)</f>
        <v>221492</v>
      </c>
      <c r="H21" s="4">
        <f>F21-G21</f>
        <v>-11954</v>
      </c>
      <c r="I21" s="8">
        <f>IFERROR(E21/D21,0)</f>
        <v>-0.058141319012724534</v>
      </c>
      <c r="J21" s="6" t="str">
        <f>IF(ABS(I21)&gt;=5%,"Review","Within threshold")</f>
        <v>Review</v>
      </c>
    </row>
    <row r="22" spans="1:10">
      <c r="A22" s="6" t="s">
        <v>34</v>
      </c>
      <c r="B22" s="6" t="s">
        <v>30</v>
      </c>
      <c r="C22" s="4">
        <f>SUMIFS(Actuals!$D:$D,Actuals!$A:$A,A22,Actuals!$B:$B,B22)</f>
        <v>730309</v>
      </c>
      <c r="D22" s="4">
        <f>SUMIFS(Budget!$D:$D,Budget!$A:$A,A22,Budget!$B:$B,B22)</f>
        <v>778680</v>
      </c>
      <c r="E22" s="4">
        <f>C22-D22</f>
        <v>-48371</v>
      </c>
      <c r="F22" s="4">
        <f>SUMIFS(Actuals!$D:$D,Actuals!$A:$A,A22,Actuals!$B:$B,B22)+SUMIFS(Actuals!$E:$E,Actuals!$A:$A,A22,Actuals!$B:$B,B22)+SUMIFS(Actuals!$F:$F,Actuals!$A:$A,A22,Actuals!$B:$B,B22)</f>
        <v>198150</v>
      </c>
      <c r="G22" s="4">
        <f>SUMIFS(Budget!$D:$D,Budget!$A:$A,A22,Budget!$B:$B,B22)+SUMIFS(Budget!$E:$E,Budget!$A:$A,A22,Budget!$B:$B,B22)+SUMIFS(Budget!$F:$F,Budget!$A:$A,A22,Budget!$B:$B,B22)</f>
        <v>227634</v>
      </c>
      <c r="H22" s="4">
        <f>F22-G22</f>
        <v>-29484</v>
      </c>
      <c r="I22" s="8">
        <f>IFERROR(E22/D22,0)</f>
        <v>-0.062119227410489544</v>
      </c>
      <c r="J22" s="6" t="str">
        <f>IF(ABS(I22)&gt;=5%,"Review","Within threshold")</f>
        <v>Review</v>
      </c>
    </row>
    <row r="23" spans="1:10">
      <c r="A23" s="6" t="s">
        <v>34</v>
      </c>
      <c r="B23" s="6" t="s">
        <v>31</v>
      </c>
      <c r="C23" s="4">
        <f>SUMIFS(Actuals!$D:$D,Actuals!$A:$A,A23,Actuals!$B:$B,B23)</f>
        <v>827694</v>
      </c>
      <c r="D23" s="4">
        <f>SUMIFS(Budget!$D:$D,Budget!$A:$A,A23,Budget!$B:$B,B23)</f>
        <v>801340</v>
      </c>
      <c r="E23" s="4">
        <f>C23-D23</f>
        <v>26354</v>
      </c>
      <c r="F23" s="4">
        <f>SUMIFS(Actuals!$D:$D,Actuals!$A:$A,A23,Actuals!$B:$B,B23)+SUMIFS(Actuals!$E:$E,Actuals!$A:$A,A23,Actuals!$B:$B,B23)+SUMIFS(Actuals!$F:$F,Actuals!$A:$A,A23,Actuals!$B:$B,B23)</f>
        <v>257009</v>
      </c>
      <c r="G23" s="4">
        <f>SUMIFS(Budget!$D:$D,Budget!$A:$A,A23,Budget!$B:$B,B23)+SUMIFS(Budget!$E:$E,Budget!$A:$A,A23,Budget!$B:$B,B23)+SUMIFS(Budget!$F:$F,Budget!$A:$A,A23,Budget!$B:$B,B23)</f>
        <v>233777</v>
      </c>
      <c r="H23" s="4">
        <f>F23-G23</f>
        <v>23232</v>
      </c>
      <c r="I23" s="8">
        <f>IFERROR(E23/D23,0)</f>
        <v>0.03288741358224973</v>
      </c>
      <c r="J23" s="6" t="str">
        <f>IF(ABS(I23)&gt;=5%,"Review","Within threshold")</f>
        <v>Within threshold</v>
      </c>
    </row>
    <row r="24" spans="1:10">
      <c r="A24" s="6" t="s">
        <v>34</v>
      </c>
      <c r="B24" s="6" t="s">
        <v>32</v>
      </c>
      <c r="C24" s="4">
        <f>SUMIFS(Actuals!$D:$D,Actuals!$A:$A,A24,Actuals!$B:$B,B24)</f>
        <v>764028</v>
      </c>
      <c r="D24" s="4">
        <f>SUMIFS(Budget!$D:$D,Budget!$A:$A,A24,Budget!$B:$B,B24)</f>
        <v>824000</v>
      </c>
      <c r="E24" s="4">
        <f>C24-D24</f>
        <v>-59972</v>
      </c>
      <c r="F24" s="4">
        <f>SUMIFS(Actuals!$D:$D,Actuals!$A:$A,A24,Actuals!$B:$B,B24)+SUMIFS(Actuals!$E:$E,Actuals!$A:$A,A24,Actuals!$B:$B,B24)+SUMIFS(Actuals!$F:$F,Actuals!$A:$A,A24,Actuals!$B:$B,B24)</f>
        <v>212581</v>
      </c>
      <c r="G24" s="4">
        <f>SUMIFS(Budget!$D:$D,Budget!$A:$A,A24,Budget!$B:$B,B24)+SUMIFS(Budget!$E:$E,Budget!$A:$A,A24,Budget!$B:$B,B24)+SUMIFS(Budget!$F:$F,Budget!$A:$A,A24,Budget!$B:$B,B24)</f>
        <v>239920</v>
      </c>
      <c r="H24" s="4">
        <f>F24-G24</f>
        <v>-27339</v>
      </c>
      <c r="I24" s="8">
        <f>IFERROR(E24/D24,0)</f>
        <v>-0.07278155339805825</v>
      </c>
      <c r="J24" s="6" t="str">
        <f>IF(ABS(I24)&gt;=5%,"Review","Within threshold")</f>
        <v>Review</v>
      </c>
    </row>
    <row r="25" spans="1:10">
      <c r="A25" s="6" t="s">
        <v>34</v>
      </c>
      <c r="B25" s="6" t="s">
        <v>33</v>
      </c>
      <c r="C25" s="4">
        <f>SUMIFS(Actuals!$D:$D,Actuals!$A:$A,A25,Actuals!$B:$B,B25)</f>
        <v>849948</v>
      </c>
      <c r="D25" s="4">
        <f>SUMIFS(Budget!$D:$D,Budget!$A:$A,A25,Budget!$B:$B,B25)</f>
        <v>846660</v>
      </c>
      <c r="E25" s="4">
        <f>C25-D25</f>
        <v>3288</v>
      </c>
      <c r="F25" s="4">
        <f>SUMIFS(Actuals!$D:$D,Actuals!$A:$A,A25,Actuals!$B:$B,B25)+SUMIFS(Actuals!$E:$E,Actuals!$A:$A,A25,Actuals!$B:$B,B25)+SUMIFS(Actuals!$F:$F,Actuals!$A:$A,A25,Actuals!$B:$B,B25)</f>
        <v>261684</v>
      </c>
      <c r="G25" s="4">
        <f>SUMIFS(Budget!$D:$D,Budget!$A:$A,A25,Budget!$B:$B,B25)+SUMIFS(Budget!$E:$E,Budget!$A:$A,A25,Budget!$B:$B,B25)+SUMIFS(Budget!$F:$F,Budget!$A:$A,A25,Budget!$B:$B,B25)</f>
        <v>246063</v>
      </c>
      <c r="H25" s="4">
        <f>F25-G25</f>
        <v>15621</v>
      </c>
      <c r="I25" s="8">
        <f>IFERROR(E25/D25,0)</f>
        <v>0.003883495145631068</v>
      </c>
      <c r="J25" s="6" t="str">
        <f>IF(ABS(I25)&gt;=5%,"Review","Within threshold")</f>
        <v>Within threshold</v>
      </c>
    </row>
    <row r="26" spans="1:10">
      <c r="A26" s="6" t="s">
        <v>35</v>
      </c>
      <c r="B26" s="6" t="s">
        <v>22</v>
      </c>
      <c r="C26" s="4">
        <f>SUMIFS(Actuals!$D:$D,Actuals!$A:$A,A26,Actuals!$B:$B,B26)</f>
        <v>707828</v>
      </c>
      <c r="D26" s="4">
        <f>SUMIFS(Budget!$D:$D,Budget!$A:$A,A26,Budget!$B:$B,B26)</f>
        <v>679800</v>
      </c>
      <c r="E26" s="4">
        <f>C26-D26</f>
        <v>28028</v>
      </c>
      <c r="F26" s="4">
        <f>SUMIFS(Actuals!$D:$D,Actuals!$A:$A,A26,Actuals!$B:$B,B26)+SUMIFS(Actuals!$E:$E,Actuals!$A:$A,A26,Actuals!$B:$B,B26)+SUMIFS(Actuals!$F:$F,Actuals!$A:$A,A26,Actuals!$B:$B,B26)</f>
        <v>228521</v>
      </c>
      <c r="G26" s="4">
        <f>SUMIFS(Budget!$D:$D,Budget!$A:$A,A26,Budget!$B:$B,B26)+SUMIFS(Budget!$E:$E,Budget!$A:$A,A26,Budget!$B:$B,B26)+SUMIFS(Budget!$F:$F,Budget!$A:$A,A26,Budget!$B:$B,B26)</f>
        <v>208284</v>
      </c>
      <c r="H26" s="4">
        <f>F26-G26</f>
        <v>20237</v>
      </c>
      <c r="I26" s="8">
        <f>IFERROR(E26/D26,0)</f>
        <v>0.04122977346278317</v>
      </c>
      <c r="J26" s="6" t="str">
        <f>IF(ABS(I26)&gt;=5%,"Review","Within threshold")</f>
        <v>Within threshold</v>
      </c>
    </row>
    <row r="27" spans="1:10">
      <c r="A27" s="6" t="s">
        <v>35</v>
      </c>
      <c r="B27" s="6" t="s">
        <v>23</v>
      </c>
      <c r="C27" s="4">
        <f>SUMIFS(Actuals!$D:$D,Actuals!$A:$A,A27,Actuals!$B:$B,B27)</f>
        <v>660969</v>
      </c>
      <c r="D27" s="4">
        <f>SUMIFS(Budget!$D:$D,Budget!$A:$A,A27,Budget!$B:$B,B27)</f>
        <v>702460</v>
      </c>
      <c r="E27" s="4">
        <f>C27-D27</f>
        <v>-41491</v>
      </c>
      <c r="F27" s="4">
        <f>SUMIFS(Actuals!$D:$D,Actuals!$A:$A,A27,Actuals!$B:$B,B27)+SUMIFS(Actuals!$E:$E,Actuals!$A:$A,A27,Actuals!$B:$B,B27)+SUMIFS(Actuals!$F:$F,Actuals!$A:$A,A27,Actuals!$B:$B,B27)</f>
        <v>197606</v>
      </c>
      <c r="G27" s="4">
        <f>SUMIFS(Budget!$D:$D,Budget!$A:$A,A27,Budget!$B:$B,B27)+SUMIFS(Budget!$E:$E,Budget!$A:$A,A27,Budget!$B:$B,B27)+SUMIFS(Budget!$F:$F,Budget!$A:$A,A27,Budget!$B:$B,B27)</f>
        <v>214427</v>
      </c>
      <c r="H27" s="4">
        <f>F27-G27</f>
        <v>-16821</v>
      </c>
      <c r="I27" s="8">
        <f>IFERROR(E27/D27,0)</f>
        <v>-0.05906528485607721</v>
      </c>
      <c r="J27" s="6" t="str">
        <f>IF(ABS(I27)&gt;=5%,"Review","Within threshold")</f>
        <v>Review</v>
      </c>
    </row>
    <row r="28" spans="1:10">
      <c r="A28" s="6" t="s">
        <v>35</v>
      </c>
      <c r="B28" s="6" t="s">
        <v>24</v>
      </c>
      <c r="C28" s="4">
        <f>SUMIFS(Actuals!$D:$D,Actuals!$A:$A,A28,Actuals!$B:$B,B28)</f>
        <v>673504</v>
      </c>
      <c r="D28" s="4">
        <f>SUMIFS(Budget!$D:$D,Budget!$A:$A,A28,Budget!$B:$B,B28)</f>
        <v>725120</v>
      </c>
      <c r="E28" s="4">
        <f>C28-D28</f>
        <v>-51616</v>
      </c>
      <c r="F28" s="4">
        <f>SUMIFS(Actuals!$D:$D,Actuals!$A:$A,A28,Actuals!$B:$B,B28)+SUMIFS(Actuals!$E:$E,Actuals!$A:$A,A28,Actuals!$B:$B,B28)+SUMIFS(Actuals!$F:$F,Actuals!$A:$A,A28,Actuals!$B:$B,B28)</f>
        <v>191633</v>
      </c>
      <c r="G28" s="4">
        <f>SUMIFS(Budget!$D:$D,Budget!$A:$A,A28,Budget!$B:$B,B28)+SUMIFS(Budget!$E:$E,Budget!$A:$A,A28,Budget!$B:$B,B28)+SUMIFS(Budget!$F:$F,Budget!$A:$A,A28,Budget!$B:$B,B28)</f>
        <v>220570</v>
      </c>
      <c r="H28" s="4">
        <f>F28-G28</f>
        <v>-28937</v>
      </c>
      <c r="I28" s="8">
        <f>IFERROR(E28/D28,0)</f>
        <v>-0.07118270079435128</v>
      </c>
      <c r="J28" s="6" t="str">
        <f>IF(ABS(I28)&gt;=5%,"Review","Within threshold")</f>
        <v>Review</v>
      </c>
    </row>
    <row r="29" spans="1:10">
      <c r="A29" s="6" t="s">
        <v>35</v>
      </c>
      <c r="B29" s="6" t="s">
        <v>25</v>
      </c>
      <c r="C29" s="4">
        <f>SUMIFS(Actuals!$D:$D,Actuals!$A:$A,A29,Actuals!$B:$B,B29)</f>
        <v>778468</v>
      </c>
      <c r="D29" s="4">
        <f>SUMIFS(Budget!$D:$D,Budget!$A:$A,A29,Budget!$B:$B,B29)</f>
        <v>747780</v>
      </c>
      <c r="E29" s="4">
        <f>C29-D29</f>
        <v>30688</v>
      </c>
      <c r="F29" s="4">
        <f>SUMIFS(Actuals!$D:$D,Actuals!$A:$A,A29,Actuals!$B:$B,B29)+SUMIFS(Actuals!$E:$E,Actuals!$A:$A,A29,Actuals!$B:$B,B29)+SUMIFS(Actuals!$F:$F,Actuals!$A:$A,A29,Actuals!$B:$B,B29)</f>
        <v>260996</v>
      </c>
      <c r="G29" s="4">
        <f>SUMIFS(Budget!$D:$D,Budget!$A:$A,A29,Budget!$B:$B,B29)+SUMIFS(Budget!$E:$E,Budget!$A:$A,A29,Budget!$B:$B,B29)+SUMIFS(Budget!$F:$F,Budget!$A:$A,A29,Budget!$B:$B,B29)</f>
        <v>226712</v>
      </c>
      <c r="H29" s="4">
        <f>F29-G29</f>
        <v>34284</v>
      </c>
      <c r="I29" s="8">
        <f>IFERROR(E29/D29,0)</f>
        <v>0.041038808205621974</v>
      </c>
      <c r="J29" s="6" t="str">
        <f>IF(ABS(I29)&gt;=5%,"Review","Within threshold")</f>
        <v>Within threshold</v>
      </c>
    </row>
    <row r="30" spans="1:10">
      <c r="A30" s="6" t="s">
        <v>35</v>
      </c>
      <c r="B30" s="6" t="s">
        <v>26</v>
      </c>
      <c r="C30" s="4">
        <f>SUMIFS(Actuals!$D:$D,Actuals!$A:$A,A30,Actuals!$B:$B,B30)</f>
        <v>698069</v>
      </c>
      <c r="D30" s="4">
        <f>SUMIFS(Budget!$D:$D,Budget!$A:$A,A30,Budget!$B:$B,B30)</f>
        <v>770440</v>
      </c>
      <c r="E30" s="4">
        <f>C30-D30</f>
        <v>-72371</v>
      </c>
      <c r="F30" s="4">
        <f>SUMIFS(Actuals!$D:$D,Actuals!$A:$A,A30,Actuals!$B:$B,B30)+SUMIFS(Actuals!$E:$E,Actuals!$A:$A,A30,Actuals!$B:$B,B30)+SUMIFS(Actuals!$F:$F,Actuals!$A:$A,A30,Actuals!$B:$B,B30)</f>
        <v>193097</v>
      </c>
      <c r="G30" s="4">
        <f>SUMIFS(Budget!$D:$D,Budget!$A:$A,A30,Budget!$B:$B,B30)+SUMIFS(Budget!$E:$E,Budget!$A:$A,A30,Budget!$B:$B,B30)+SUMIFS(Budget!$F:$F,Budget!$A:$A,A30,Budget!$B:$B,B30)</f>
        <v>232855</v>
      </c>
      <c r="H30" s="4">
        <f>F30-G30</f>
        <v>-39758</v>
      </c>
      <c r="I30" s="8">
        <f>IFERROR(E30/D30,0)</f>
        <v>-0.09393463475416645</v>
      </c>
      <c r="J30" s="6" t="str">
        <f>IF(ABS(I30)&gt;=5%,"Review","Within threshold")</f>
        <v>Review</v>
      </c>
    </row>
    <row r="31" spans="1:10">
      <c r="A31" s="6" t="s">
        <v>35</v>
      </c>
      <c r="B31" s="6" t="s">
        <v>27</v>
      </c>
      <c r="C31" s="4">
        <f>SUMIFS(Actuals!$D:$D,Actuals!$A:$A,A31,Actuals!$B:$B,B31)</f>
        <v>717962</v>
      </c>
      <c r="D31" s="4">
        <f>SUMIFS(Budget!$D:$D,Budget!$A:$A,A31,Budget!$B:$B,B31)</f>
        <v>793100</v>
      </c>
      <c r="E31" s="4">
        <f>C31-D31</f>
        <v>-75138</v>
      </c>
      <c r="F31" s="4">
        <f>SUMIFS(Actuals!$D:$D,Actuals!$A:$A,A31,Actuals!$B:$B,B31)+SUMIFS(Actuals!$E:$E,Actuals!$A:$A,A31,Actuals!$B:$B,B31)+SUMIFS(Actuals!$F:$F,Actuals!$A:$A,A31,Actuals!$B:$B,B31)</f>
        <v>190418</v>
      </c>
      <c r="G31" s="4">
        <f>SUMIFS(Budget!$D:$D,Budget!$A:$A,A31,Budget!$B:$B,B31)+SUMIFS(Budget!$E:$E,Budget!$A:$A,A31,Budget!$B:$B,B31)+SUMIFS(Budget!$F:$F,Budget!$A:$A,A31,Budget!$B:$B,B31)</f>
        <v>238998</v>
      </c>
      <c r="H31" s="4">
        <f>F31-G31</f>
        <v>-48580</v>
      </c>
      <c r="I31" s="8">
        <f>IFERROR(E31/D31,0)</f>
        <v>-0.09473962930273609</v>
      </c>
      <c r="J31" s="6" t="str">
        <f>IF(ABS(I31)&gt;=5%,"Review","Within threshold")</f>
        <v>Review</v>
      </c>
    </row>
    <row r="32" spans="1:10">
      <c r="A32" s="6" t="s">
        <v>35</v>
      </c>
      <c r="B32" s="6" t="s">
        <v>28</v>
      </c>
      <c r="C32" s="4">
        <f>SUMIFS(Actuals!$D:$D,Actuals!$A:$A,A32,Actuals!$B:$B,B32)</f>
        <v>812015</v>
      </c>
      <c r="D32" s="4">
        <f>SUMIFS(Budget!$D:$D,Budget!$A:$A,A32,Budget!$B:$B,B32)</f>
        <v>815760</v>
      </c>
      <c r="E32" s="4">
        <f>C32-D32</f>
        <v>-3745</v>
      </c>
      <c r="F32" s="4">
        <f>SUMIFS(Actuals!$D:$D,Actuals!$A:$A,A32,Actuals!$B:$B,B32)+SUMIFS(Actuals!$E:$E,Actuals!$A:$A,A32,Actuals!$B:$B,B32)+SUMIFS(Actuals!$F:$F,Actuals!$A:$A,A32,Actuals!$B:$B,B32)</f>
        <v>252267</v>
      </c>
      <c r="G32" s="4">
        <f>SUMIFS(Budget!$D:$D,Budget!$A:$A,A32,Budget!$B:$B,B32)+SUMIFS(Budget!$E:$E,Budget!$A:$A,A32,Budget!$B:$B,B32)+SUMIFS(Budget!$F:$F,Budget!$A:$A,A32,Budget!$B:$B,B32)</f>
        <v>245141</v>
      </c>
      <c r="H32" s="4">
        <f>F32-G32</f>
        <v>7126</v>
      </c>
      <c r="I32" s="8">
        <f>IFERROR(E32/D32,0)</f>
        <v>-0.004590811022849858</v>
      </c>
      <c r="J32" s="6" t="str">
        <f>IF(ABS(I32)&gt;=5%,"Review","Within threshold")</f>
        <v>Within threshold</v>
      </c>
    </row>
    <row r="33" spans="1:10">
      <c r="A33" s="6" t="s">
        <v>35</v>
      </c>
      <c r="B33" s="6" t="s">
        <v>29</v>
      </c>
      <c r="C33" s="4">
        <f>SUMIFS(Actuals!$D:$D,Actuals!$A:$A,A33,Actuals!$B:$B,B33)</f>
        <v>766648</v>
      </c>
      <c r="D33" s="4">
        <f>SUMIFS(Budget!$D:$D,Budget!$A:$A,A33,Budget!$B:$B,B33)</f>
        <v>838420</v>
      </c>
      <c r="E33" s="4">
        <f>C33-D33</f>
        <v>-71772</v>
      </c>
      <c r="F33" s="4">
        <f>SUMIFS(Actuals!$D:$D,Actuals!$A:$A,A33,Actuals!$B:$B,B33)+SUMIFS(Actuals!$E:$E,Actuals!$A:$A,A33,Actuals!$B:$B,B33)+SUMIFS(Actuals!$F:$F,Actuals!$A:$A,A33,Actuals!$B:$B,B33)</f>
        <v>205522</v>
      </c>
      <c r="G33" s="4">
        <f>SUMIFS(Budget!$D:$D,Budget!$A:$A,A33,Budget!$B:$B,B33)+SUMIFS(Budget!$E:$E,Budget!$A:$A,A33,Budget!$B:$B,B33)+SUMIFS(Budget!$F:$F,Budget!$A:$A,A33,Budget!$B:$B,B33)</f>
        <v>251284</v>
      </c>
      <c r="H33" s="4">
        <f>F33-G33</f>
        <v>-45762</v>
      </c>
      <c r="I33" s="8">
        <f>IFERROR(E33/D33,0)</f>
        <v>-0.08560387395338852</v>
      </c>
      <c r="J33" s="6" t="str">
        <f>IF(ABS(I33)&gt;=5%,"Review","Within threshold")</f>
        <v>Review</v>
      </c>
    </row>
    <row r="34" spans="1:10">
      <c r="A34" s="6" t="s">
        <v>35</v>
      </c>
      <c r="B34" s="6" t="s">
        <v>30</v>
      </c>
      <c r="C34" s="4">
        <f>SUMIFS(Actuals!$D:$D,Actuals!$A:$A,A34,Actuals!$B:$B,B34)</f>
        <v>907184</v>
      </c>
      <c r="D34" s="4">
        <f>SUMIFS(Budget!$D:$D,Budget!$A:$A,A34,Budget!$B:$B,B34)</f>
        <v>861080</v>
      </c>
      <c r="E34" s="4">
        <f>C34-D34</f>
        <v>46104</v>
      </c>
      <c r="F34" s="4">
        <f>SUMIFS(Actuals!$D:$D,Actuals!$A:$A,A34,Actuals!$B:$B,B34)+SUMIFS(Actuals!$E:$E,Actuals!$A:$A,A34,Actuals!$B:$B,B34)+SUMIFS(Actuals!$F:$F,Actuals!$A:$A,A34,Actuals!$B:$B,B34)</f>
        <v>295762</v>
      </c>
      <c r="G34" s="4">
        <f>SUMIFS(Budget!$D:$D,Budget!$A:$A,A34,Budget!$B:$B,B34)+SUMIFS(Budget!$E:$E,Budget!$A:$A,A34,Budget!$B:$B,B34)+SUMIFS(Budget!$F:$F,Budget!$A:$A,A34,Budget!$B:$B,B34)</f>
        <v>257426</v>
      </c>
      <c r="H34" s="4">
        <f>F34-G34</f>
        <v>38336</v>
      </c>
      <c r="I34" s="8">
        <f>IFERROR(E34/D34,0)</f>
        <v>0.0535420634551958</v>
      </c>
      <c r="J34" s="6" t="str">
        <f>IF(ABS(I34)&gt;=5%,"Review","Within threshold")</f>
        <v>Review</v>
      </c>
    </row>
    <row r="35" spans="1:10">
      <c r="A35" s="6" t="s">
        <v>35</v>
      </c>
      <c r="B35" s="6" t="s">
        <v>31</v>
      </c>
      <c r="C35" s="4">
        <f>SUMIFS(Actuals!$D:$D,Actuals!$A:$A,A35,Actuals!$B:$B,B35)</f>
        <v>818304</v>
      </c>
      <c r="D35" s="4">
        <f>SUMIFS(Budget!$D:$D,Budget!$A:$A,A35,Budget!$B:$B,B35)</f>
        <v>883740</v>
      </c>
      <c r="E35" s="4">
        <f>C35-D35</f>
        <v>-65436</v>
      </c>
      <c r="F35" s="4">
        <f>SUMIFS(Actuals!$D:$D,Actuals!$A:$A,A35,Actuals!$B:$B,B35)+SUMIFS(Actuals!$E:$E,Actuals!$A:$A,A35,Actuals!$B:$B,B35)+SUMIFS(Actuals!$F:$F,Actuals!$A:$A,A35,Actuals!$B:$B,B35)</f>
        <v>210493</v>
      </c>
      <c r="G35" s="4">
        <f>SUMIFS(Budget!$D:$D,Budget!$A:$A,A35,Budget!$B:$B,B35)+SUMIFS(Budget!$E:$E,Budget!$A:$A,A35,Budget!$B:$B,B35)+SUMIFS(Budget!$F:$F,Budget!$A:$A,A35,Budget!$B:$B,B35)</f>
        <v>263569</v>
      </c>
      <c r="H35" s="4">
        <f>F35-G35</f>
        <v>-53076</v>
      </c>
      <c r="I35" s="8">
        <f>IFERROR(E35/D35,0)</f>
        <v>-0.07404440219974201</v>
      </c>
      <c r="J35" s="6" t="str">
        <f>IF(ABS(I35)&gt;=5%,"Review","Within threshold")</f>
        <v>Review</v>
      </c>
    </row>
    <row r="36" spans="1:10">
      <c r="A36" s="6" t="s">
        <v>35</v>
      </c>
      <c r="B36" s="6" t="s">
        <v>32</v>
      </c>
      <c r="C36" s="4">
        <f>SUMIFS(Actuals!$D:$D,Actuals!$A:$A,A36,Actuals!$B:$B,B36)</f>
        <v>849892</v>
      </c>
      <c r="D36" s="4">
        <f>SUMIFS(Budget!$D:$D,Budget!$A:$A,A36,Budget!$B:$B,B36)</f>
        <v>906400</v>
      </c>
      <c r="E36" s="4">
        <f>C36-D36</f>
        <v>-56508</v>
      </c>
      <c r="F36" s="4">
        <f>SUMIFS(Actuals!$D:$D,Actuals!$A:$A,A36,Actuals!$B:$B,B36)+SUMIFS(Actuals!$E:$E,Actuals!$A:$A,A36,Actuals!$B:$B,B36)+SUMIFS(Actuals!$F:$F,Actuals!$A:$A,A36,Actuals!$B:$B,B36)</f>
        <v>235884</v>
      </c>
      <c r="G36" s="4">
        <f>SUMIFS(Budget!$D:$D,Budget!$A:$A,A36,Budget!$B:$B,B36)+SUMIFS(Budget!$E:$E,Budget!$A:$A,A36,Budget!$B:$B,B36)+SUMIFS(Budget!$F:$F,Budget!$A:$A,A36,Budget!$B:$B,B36)</f>
        <v>269712</v>
      </c>
      <c r="H36" s="4">
        <f>F36-G36</f>
        <v>-33828</v>
      </c>
      <c r="I36" s="8">
        <f>IFERROR(E36/D36,0)</f>
        <v>-0.06234333627537511</v>
      </c>
      <c r="J36" s="6" t="str">
        <f>IF(ABS(I36)&gt;=5%,"Review","Within threshold")</f>
        <v>Review</v>
      </c>
    </row>
    <row r="37" spans="1:10">
      <c r="A37" s="6" t="s">
        <v>35</v>
      </c>
      <c r="B37" s="6" t="s">
        <v>33</v>
      </c>
      <c r="C37" s="4">
        <f>SUMIFS(Actuals!$D:$D,Actuals!$A:$A,A37,Actuals!$B:$B,B37)</f>
        <v>922344</v>
      </c>
      <c r="D37" s="4">
        <f>SUMIFS(Budget!$D:$D,Budget!$A:$A,A37,Budget!$B:$B,B37)</f>
        <v>929060</v>
      </c>
      <c r="E37" s="4">
        <f>C37-D37</f>
        <v>-6716</v>
      </c>
      <c r="F37" s="4">
        <f>SUMIFS(Actuals!$D:$D,Actuals!$A:$A,A37,Actuals!$B:$B,B37)+SUMIFS(Actuals!$E:$E,Actuals!$A:$A,A37,Actuals!$B:$B,B37)+SUMIFS(Actuals!$F:$F,Actuals!$A:$A,A37,Actuals!$B:$B,B37)</f>
        <v>272210</v>
      </c>
      <c r="G37" s="4">
        <f>SUMIFS(Budget!$D:$D,Budget!$A:$A,A37,Budget!$B:$B,B37)+SUMIFS(Budget!$E:$E,Budget!$A:$A,A37,Budget!$B:$B,B37)+SUMIFS(Budget!$F:$F,Budget!$A:$A,A37,Budget!$B:$B,B37)</f>
        <v>275855</v>
      </c>
      <c r="H37" s="4">
        <f>F37-G37</f>
        <v>-3645</v>
      </c>
      <c r="I37" s="8">
        <f>IFERROR(E37/D37,0)</f>
        <v>-0.00722881191742191</v>
      </c>
      <c r="J37" s="6" t="str">
        <f>IF(ABS(I37)&gt;=5%,"Review","Within threshold")</f>
        <v>Within threshold</v>
      </c>
    </row>
    <row r="38" spans="1:10">
      <c r="A38" s="6" t="s">
        <v>36</v>
      </c>
      <c r="B38" s="6" t="s">
        <v>22</v>
      </c>
      <c r="C38" s="4">
        <f>SUMIFS(Actuals!$D:$D,Actuals!$A:$A,A38,Actuals!$B:$B,B38)</f>
        <v>790336</v>
      </c>
      <c r="D38" s="4">
        <f>SUMIFS(Budget!$D:$D,Budget!$A:$A,A38,Budget!$B:$B,B38)</f>
        <v>762200</v>
      </c>
      <c r="E38" s="4">
        <f>C38-D38</f>
        <v>28136</v>
      </c>
      <c r="F38" s="4">
        <f>SUMIFS(Actuals!$D:$D,Actuals!$A:$A,A38,Actuals!$B:$B,B38)+SUMIFS(Actuals!$E:$E,Actuals!$A:$A,A38,Actuals!$B:$B,B38)+SUMIFS(Actuals!$F:$F,Actuals!$A:$A,A38,Actuals!$B:$B,B38)</f>
        <v>259196</v>
      </c>
      <c r="G38" s="4">
        <f>SUMIFS(Budget!$D:$D,Budget!$A:$A,A38,Budget!$B:$B,B38)+SUMIFS(Budget!$E:$E,Budget!$A:$A,A38,Budget!$B:$B,B38)+SUMIFS(Budget!$F:$F,Budget!$A:$A,A38,Budget!$B:$B,B38)</f>
        <v>238076</v>
      </c>
      <c r="H38" s="4">
        <f>F38-G38</f>
        <v>21120</v>
      </c>
      <c r="I38" s="8">
        <f>IFERROR(E38/D38,0)</f>
        <v>0.036914195749147206</v>
      </c>
      <c r="J38" s="6" t="str">
        <f>IF(ABS(I38)&gt;=5%,"Review","Within threshold")</f>
        <v>Within threshold</v>
      </c>
    </row>
    <row r="39" spans="1:10">
      <c r="A39" s="6" t="s">
        <v>36</v>
      </c>
      <c r="B39" s="6" t="s">
        <v>23</v>
      </c>
      <c r="C39" s="4">
        <f>SUMIFS(Actuals!$D:$D,Actuals!$A:$A,A39,Actuals!$B:$B,B39)</f>
        <v>737976</v>
      </c>
      <c r="D39" s="4">
        <f>SUMIFS(Budget!$D:$D,Budget!$A:$A,A39,Budget!$B:$B,B39)</f>
        <v>784860</v>
      </c>
      <c r="E39" s="4">
        <f>C39-D39</f>
        <v>-46884</v>
      </c>
      <c r="F39" s="4">
        <f>SUMIFS(Actuals!$D:$D,Actuals!$A:$A,A39,Actuals!$B:$B,B39)+SUMIFS(Actuals!$E:$E,Actuals!$A:$A,A39,Actuals!$B:$B,B39)+SUMIFS(Actuals!$F:$F,Actuals!$A:$A,A39,Actuals!$B:$B,B39)</f>
        <v>224609</v>
      </c>
      <c r="G39" s="4">
        <f>SUMIFS(Budget!$D:$D,Budget!$A:$A,A39,Budget!$B:$B,B39)+SUMIFS(Budget!$E:$E,Budget!$A:$A,A39,Budget!$B:$B,B39)+SUMIFS(Budget!$F:$F,Budget!$A:$A,A39,Budget!$B:$B,B39)</f>
        <v>244219</v>
      </c>
      <c r="H39" s="4">
        <f>F39-G39</f>
        <v>-19610</v>
      </c>
      <c r="I39" s="8">
        <f>IFERROR(E39/D39,0)</f>
        <v>-0.05973549422827001</v>
      </c>
      <c r="J39" s="6" t="str">
        <f>IF(ABS(I39)&gt;=5%,"Review","Within threshold")</f>
        <v>Review</v>
      </c>
    </row>
    <row r="40" spans="1:10">
      <c r="A40" s="6" t="s">
        <v>36</v>
      </c>
      <c r="B40" s="6" t="s">
        <v>24</v>
      </c>
      <c r="C40" s="4">
        <f>SUMIFS(Actuals!$D:$D,Actuals!$A:$A,A40,Actuals!$B:$B,B40)</f>
        <v>752616</v>
      </c>
      <c r="D40" s="4">
        <f>SUMIFS(Budget!$D:$D,Budget!$A:$A,A40,Budget!$B:$B,B40)</f>
        <v>807520</v>
      </c>
      <c r="E40" s="4">
        <f>C40-D40</f>
        <v>-54904</v>
      </c>
      <c r="F40" s="4">
        <f>SUMIFS(Actuals!$D:$D,Actuals!$A:$A,A40,Actuals!$B:$B,B40)+SUMIFS(Actuals!$E:$E,Actuals!$A:$A,A40,Actuals!$B:$B,B40)+SUMIFS(Actuals!$F:$F,Actuals!$A:$A,A40,Actuals!$B:$B,B40)</f>
        <v>206282</v>
      </c>
      <c r="G40" s="4">
        <f>SUMIFS(Budget!$D:$D,Budget!$A:$A,A40,Budget!$B:$B,B40)+SUMIFS(Budget!$E:$E,Budget!$A:$A,A40,Budget!$B:$B,B40)+SUMIFS(Budget!$F:$F,Budget!$A:$A,A40,Budget!$B:$B,B40)</f>
        <v>250362</v>
      </c>
      <c r="H40" s="4">
        <f>F40-G40</f>
        <v>-44080</v>
      </c>
      <c r="I40" s="8">
        <f>IFERROR(E40/D40,0)</f>
        <v>-0.06799088567465822</v>
      </c>
      <c r="J40" s="6" t="str">
        <f>IF(ABS(I40)&gt;=5%,"Review","Within threshold")</f>
        <v>Review</v>
      </c>
    </row>
    <row r="41" spans="1:10">
      <c r="A41" s="6" t="s">
        <v>36</v>
      </c>
      <c r="B41" s="6" t="s">
        <v>25</v>
      </c>
      <c r="C41" s="4">
        <f>SUMIFS(Actuals!$D:$D,Actuals!$A:$A,A41,Actuals!$B:$B,B41)</f>
        <v>876952</v>
      </c>
      <c r="D41" s="4">
        <f>SUMIFS(Budget!$D:$D,Budget!$A:$A,A41,Budget!$B:$B,B41)</f>
        <v>830180</v>
      </c>
      <c r="E41" s="4">
        <f>C41-D41</f>
        <v>46772</v>
      </c>
      <c r="F41" s="4">
        <f>SUMIFS(Actuals!$D:$D,Actuals!$A:$A,A41,Actuals!$B:$B,B41)+SUMIFS(Actuals!$E:$E,Actuals!$A:$A,A41,Actuals!$B:$B,B41)+SUMIFS(Actuals!$F:$F,Actuals!$A:$A,A41,Actuals!$B:$B,B41)</f>
        <v>263878</v>
      </c>
      <c r="G41" s="4">
        <f>SUMIFS(Budget!$D:$D,Budget!$A:$A,A41,Budget!$B:$B,B41)+SUMIFS(Budget!$E:$E,Budget!$A:$A,A41,Budget!$B:$B,B41)+SUMIFS(Budget!$F:$F,Budget!$A:$A,A41,Budget!$B:$B,B41)</f>
        <v>256504</v>
      </c>
      <c r="H41" s="4">
        <f>F41-G41</f>
        <v>7374</v>
      </c>
      <c r="I41" s="8">
        <f>IFERROR(E41/D41,0)</f>
        <v>0.05633958900479414</v>
      </c>
      <c r="J41" s="6" t="str">
        <f>IF(ABS(I41)&gt;=5%,"Review","Within threshold")</f>
        <v>Review</v>
      </c>
    </row>
    <row r="42" spans="1:10">
      <c r="A42" s="6" t="s">
        <v>36</v>
      </c>
      <c r="B42" s="6" t="s">
        <v>26</v>
      </c>
      <c r="C42" s="4">
        <f>SUMIFS(Actuals!$D:$D,Actuals!$A:$A,A42,Actuals!$B:$B,B42)</f>
        <v>762440</v>
      </c>
      <c r="D42" s="4">
        <f>SUMIFS(Budget!$D:$D,Budget!$A:$A,A42,Budget!$B:$B,B42)</f>
        <v>852840</v>
      </c>
      <c r="E42" s="4">
        <f>C42-D42</f>
        <v>-90400</v>
      </c>
      <c r="F42" s="4">
        <f>SUMIFS(Actuals!$D:$D,Actuals!$A:$A,A42,Actuals!$B:$B,B42)+SUMIFS(Actuals!$E:$E,Actuals!$A:$A,A42,Actuals!$B:$B,B42)+SUMIFS(Actuals!$F:$F,Actuals!$A:$A,A42,Actuals!$B:$B,B42)</f>
        <v>192355</v>
      </c>
      <c r="G42" s="4">
        <f>SUMIFS(Budget!$D:$D,Budget!$A:$A,A42,Budget!$B:$B,B42)+SUMIFS(Budget!$E:$E,Budget!$A:$A,A42,Budget!$B:$B,B42)+SUMIFS(Budget!$F:$F,Budget!$A:$A,A42,Budget!$B:$B,B42)</f>
        <v>262647</v>
      </c>
      <c r="H42" s="4">
        <f>F42-G42</f>
        <v>-70292</v>
      </c>
      <c r="I42" s="8">
        <f>IFERROR(E42/D42,0)</f>
        <v>-0.10599878054500259</v>
      </c>
      <c r="J42" s="6" t="str">
        <f>IF(ABS(I42)&gt;=5%,"Review","Within threshold")</f>
        <v>Review</v>
      </c>
    </row>
    <row r="43" spans="1:10">
      <c r="A43" s="6" t="s">
        <v>36</v>
      </c>
      <c r="B43" s="6" t="s">
        <v>27</v>
      </c>
      <c r="C43" s="4">
        <f>SUMIFS(Actuals!$D:$D,Actuals!$A:$A,A43,Actuals!$B:$B,B43)</f>
        <v>902631</v>
      </c>
      <c r="D43" s="4">
        <f>SUMIFS(Budget!$D:$D,Budget!$A:$A,A43,Budget!$B:$B,B43)</f>
        <v>875500</v>
      </c>
      <c r="E43" s="4">
        <f>C43-D43</f>
        <v>27131</v>
      </c>
      <c r="F43" s="4">
        <f>SUMIFS(Actuals!$D:$D,Actuals!$A:$A,A43,Actuals!$B:$B,B43)+SUMIFS(Actuals!$E:$E,Actuals!$A:$A,A43,Actuals!$B:$B,B43)+SUMIFS(Actuals!$F:$F,Actuals!$A:$A,A43,Actuals!$B:$B,B43)</f>
        <v>293055</v>
      </c>
      <c r="G43" s="4">
        <f>SUMIFS(Budget!$D:$D,Budget!$A:$A,A43,Budget!$B:$B,B43)+SUMIFS(Budget!$E:$E,Budget!$A:$A,A43,Budget!$B:$B,B43)+SUMIFS(Budget!$F:$F,Budget!$A:$A,A43,Budget!$B:$B,B43)</f>
        <v>268790</v>
      </c>
      <c r="H43" s="4">
        <f>F43-G43</f>
        <v>24265</v>
      </c>
      <c r="I43" s="8">
        <f>IFERROR(E43/D43,0)</f>
        <v>0.030989149057681326</v>
      </c>
      <c r="J43" s="6" t="str">
        <f>IF(ABS(I43)&gt;=5%,"Review","Within threshold")</f>
        <v>Within threshold</v>
      </c>
    </row>
    <row r="44" spans="1:10">
      <c r="A44" s="6" t="s">
        <v>36</v>
      </c>
      <c r="B44" s="6" t="s">
        <v>28</v>
      </c>
      <c r="C44" s="4">
        <f>SUMIFS(Actuals!$D:$D,Actuals!$A:$A,A44,Actuals!$B:$B,B44)</f>
        <v>907971</v>
      </c>
      <c r="D44" s="4">
        <f>SUMIFS(Budget!$D:$D,Budget!$A:$A,A44,Budget!$B:$B,B44)</f>
        <v>898160</v>
      </c>
      <c r="E44" s="4">
        <f>C44-D44</f>
        <v>9811</v>
      </c>
      <c r="F44" s="4">
        <f>SUMIFS(Actuals!$D:$D,Actuals!$A:$A,A44,Actuals!$B:$B,B44)+SUMIFS(Actuals!$E:$E,Actuals!$A:$A,A44,Actuals!$B:$B,B44)+SUMIFS(Actuals!$F:$F,Actuals!$A:$A,A44,Actuals!$B:$B,B44)</f>
        <v>299106</v>
      </c>
      <c r="G44" s="4">
        <f>SUMIFS(Budget!$D:$D,Budget!$A:$A,A44,Budget!$B:$B,B44)+SUMIFS(Budget!$E:$E,Budget!$A:$A,A44,Budget!$B:$B,B44)+SUMIFS(Budget!$F:$F,Budget!$A:$A,A44,Budget!$B:$B,B44)</f>
        <v>274933</v>
      </c>
      <c r="H44" s="4">
        <f>F44-G44</f>
        <v>24173</v>
      </c>
      <c r="I44" s="8">
        <f>IFERROR(E44/D44,0)</f>
        <v>0.010923443484457113</v>
      </c>
      <c r="J44" s="6" t="str">
        <f>IF(ABS(I44)&gt;=5%,"Review","Within threshold")</f>
        <v>Within threshold</v>
      </c>
    </row>
    <row r="45" spans="1:10">
      <c r="A45" s="6" t="s">
        <v>36</v>
      </c>
      <c r="B45" s="6" t="s">
        <v>29</v>
      </c>
      <c r="C45" s="4">
        <f>SUMIFS(Actuals!$D:$D,Actuals!$A:$A,A45,Actuals!$B:$B,B45)</f>
        <v>876093</v>
      </c>
      <c r="D45" s="4">
        <f>SUMIFS(Budget!$D:$D,Budget!$A:$A,A45,Budget!$B:$B,B45)</f>
        <v>920820</v>
      </c>
      <c r="E45" s="4">
        <f>C45-D45</f>
        <v>-44727</v>
      </c>
      <c r="F45" s="4">
        <f>SUMIFS(Actuals!$D:$D,Actuals!$A:$A,A45,Actuals!$B:$B,B45)+SUMIFS(Actuals!$E:$E,Actuals!$A:$A,A45,Actuals!$B:$B,B45)+SUMIFS(Actuals!$F:$F,Actuals!$A:$A,A45,Actuals!$B:$B,B45)</f>
        <v>259157</v>
      </c>
      <c r="G45" s="4">
        <f>SUMIFS(Budget!$D:$D,Budget!$A:$A,A45,Budget!$B:$B,B45)+SUMIFS(Budget!$E:$E,Budget!$A:$A,A45,Budget!$B:$B,B45)+SUMIFS(Budget!$F:$F,Budget!$A:$A,A45,Budget!$B:$B,B45)</f>
        <v>281076</v>
      </c>
      <c r="H45" s="4">
        <f>F45-G45</f>
        <v>-21919</v>
      </c>
      <c r="I45" s="8">
        <f>IFERROR(E45/D45,0)</f>
        <v>-0.048573011011924155</v>
      </c>
      <c r="J45" s="6" t="str">
        <f>IF(ABS(I45)&gt;=5%,"Review","Within threshold")</f>
        <v>Within threshold</v>
      </c>
    </row>
    <row r="46" spans="1:10">
      <c r="A46" s="6" t="s">
        <v>36</v>
      </c>
      <c r="B46" s="6" t="s">
        <v>30</v>
      </c>
      <c r="C46" s="4">
        <f>SUMIFS(Actuals!$D:$D,Actuals!$A:$A,A46,Actuals!$B:$B,B46)</f>
        <v>881582</v>
      </c>
      <c r="D46" s="4">
        <f>SUMIFS(Budget!$D:$D,Budget!$A:$A,A46,Budget!$B:$B,B46)</f>
        <v>943480</v>
      </c>
      <c r="E46" s="4">
        <f>C46-D46</f>
        <v>-61898</v>
      </c>
      <c r="F46" s="4">
        <f>SUMIFS(Actuals!$D:$D,Actuals!$A:$A,A46,Actuals!$B:$B,B46)+SUMIFS(Actuals!$E:$E,Actuals!$A:$A,A46,Actuals!$B:$B,B46)+SUMIFS(Actuals!$F:$F,Actuals!$A:$A,A46,Actuals!$B:$B,B46)</f>
        <v>246700</v>
      </c>
      <c r="G46" s="4">
        <f>SUMIFS(Budget!$D:$D,Budget!$A:$A,A46,Budget!$B:$B,B46)+SUMIFS(Budget!$E:$E,Budget!$A:$A,A46,Budget!$B:$B,B46)+SUMIFS(Budget!$F:$F,Budget!$A:$A,A46,Budget!$B:$B,B46)</f>
        <v>287218</v>
      </c>
      <c r="H46" s="4">
        <f>F46-G46</f>
        <v>-40518</v>
      </c>
      <c r="I46" s="8">
        <f>IFERROR(E46/D46,0)</f>
        <v>-0.0656060541823886</v>
      </c>
      <c r="J46" s="6" t="str">
        <f>IF(ABS(I46)&gt;=5%,"Review","Within threshold")</f>
        <v>Review</v>
      </c>
    </row>
    <row r="47" spans="1:10">
      <c r="A47" s="6" t="s">
        <v>36</v>
      </c>
      <c r="B47" s="6" t="s">
        <v>31</v>
      </c>
      <c r="C47" s="4">
        <f>SUMIFS(Actuals!$D:$D,Actuals!$A:$A,A47,Actuals!$B:$B,B47)</f>
        <v>999850</v>
      </c>
      <c r="D47" s="4">
        <f>SUMIFS(Budget!$D:$D,Budget!$A:$A,A47,Budget!$B:$B,B47)</f>
        <v>966140</v>
      </c>
      <c r="E47" s="4">
        <f>C47-D47</f>
        <v>33710</v>
      </c>
      <c r="F47" s="4">
        <f>SUMIFS(Actuals!$D:$D,Actuals!$A:$A,A47,Actuals!$B:$B,B47)+SUMIFS(Actuals!$E:$E,Actuals!$A:$A,A47,Actuals!$B:$B,B47)+SUMIFS(Actuals!$F:$F,Actuals!$A:$A,A47,Actuals!$B:$B,B47)</f>
        <v>293118</v>
      </c>
      <c r="G47" s="4">
        <f>SUMIFS(Budget!$D:$D,Budget!$A:$A,A47,Budget!$B:$B,B47)+SUMIFS(Budget!$E:$E,Budget!$A:$A,A47,Budget!$B:$B,B47)+SUMIFS(Budget!$F:$F,Budget!$A:$A,A47,Budget!$B:$B,B47)</f>
        <v>293361</v>
      </c>
      <c r="H47" s="4">
        <f>F47-G47</f>
        <v>-243</v>
      </c>
      <c r="I47" s="8">
        <f>IFERROR(E47/D47,0)</f>
        <v>0.034891423603204505</v>
      </c>
      <c r="J47" s="6" t="str">
        <f>IF(ABS(I47)&gt;=5%,"Review","Within threshold")</f>
        <v>Within threshold</v>
      </c>
    </row>
    <row r="48" spans="1:10">
      <c r="A48" s="6" t="s">
        <v>36</v>
      </c>
      <c r="B48" s="6" t="s">
        <v>32</v>
      </c>
      <c r="C48" s="4">
        <f>SUMIFS(Actuals!$D:$D,Actuals!$A:$A,A48,Actuals!$B:$B,B48)</f>
        <v>1034529</v>
      </c>
      <c r="D48" s="4">
        <f>SUMIFS(Budget!$D:$D,Budget!$A:$A,A48,Budget!$B:$B,B48)</f>
        <v>988800</v>
      </c>
      <c r="E48" s="4">
        <f>C48-D48</f>
        <v>45729</v>
      </c>
      <c r="F48" s="4">
        <f>SUMIFS(Actuals!$D:$D,Actuals!$A:$A,A48,Actuals!$B:$B,B48)+SUMIFS(Actuals!$E:$E,Actuals!$A:$A,A48,Actuals!$B:$B,B48)+SUMIFS(Actuals!$F:$F,Actuals!$A:$A,A48,Actuals!$B:$B,B48)</f>
        <v>329980</v>
      </c>
      <c r="G48" s="4">
        <f>SUMIFS(Budget!$D:$D,Budget!$A:$A,A48,Budget!$B:$B,B48)+SUMIFS(Budget!$E:$E,Budget!$A:$A,A48,Budget!$B:$B,B48)+SUMIFS(Budget!$F:$F,Budget!$A:$A,A48,Budget!$B:$B,B48)</f>
        <v>299504</v>
      </c>
      <c r="H48" s="4">
        <f>F48-G48</f>
        <v>30476</v>
      </c>
      <c r="I48" s="8">
        <f>IFERROR(E48/D48,0)</f>
        <v>0.046246966019417475</v>
      </c>
      <c r="J48" s="6" t="str">
        <f>IF(ABS(I48)&gt;=5%,"Review","Within threshold")</f>
        <v>Within threshold</v>
      </c>
    </row>
    <row r="49" spans="1:10">
      <c r="A49" s="6" t="s">
        <v>36</v>
      </c>
      <c r="B49" s="6" t="s">
        <v>33</v>
      </c>
      <c r="C49" s="4">
        <f>SUMIFS(Actuals!$D:$D,Actuals!$A:$A,A49,Actuals!$B:$B,B49)</f>
        <v>923465</v>
      </c>
      <c r="D49" s="4">
        <f>SUMIFS(Budget!$D:$D,Budget!$A:$A,A49,Budget!$B:$B,B49)</f>
        <v>1011460</v>
      </c>
      <c r="E49" s="4">
        <f>C49-D49</f>
        <v>-87995</v>
      </c>
      <c r="F49" s="4">
        <f>SUMIFS(Actuals!$D:$D,Actuals!$A:$A,A49,Actuals!$B:$B,B49)+SUMIFS(Actuals!$E:$E,Actuals!$A:$A,A49,Actuals!$B:$B,B49)+SUMIFS(Actuals!$F:$F,Actuals!$A:$A,A49,Actuals!$B:$B,B49)</f>
        <v>244357</v>
      </c>
      <c r="G49" s="4">
        <f>SUMIFS(Budget!$D:$D,Budget!$A:$A,A49,Budget!$B:$B,B49)+SUMIFS(Budget!$E:$E,Budget!$A:$A,A49,Budget!$B:$B,B49)+SUMIFS(Budget!$F:$F,Budget!$A:$A,A49,Budget!$B:$B,B49)</f>
        <v>305647</v>
      </c>
      <c r="H49" s="4">
        <f>F49-G49</f>
        <v>-61290</v>
      </c>
      <c r="I49" s="8">
        <f>IFERROR(E49/D49,0)</f>
        <v>-0.08699800288691595</v>
      </c>
      <c r="J49" s="6" t="str">
        <f>IF(ABS(I49)&gt;=5%,"Review","Within threshold")</f>
        <v>Review</v>
      </c>
    </row>
  </sheetData>
  <conditionalFormatting sqref="I2:I49">
    <cfRule type="colorScale" priority="1">
      <colorScale>
        <cfvo type="min" val="0"/>
        <cfvo type="percentile" val="50"/>
        <cfvo type="max" val="0"/>
        <color rgb="FFFEE2E2"/>
        <color rgb="FFFFFFFF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6" width="18.7109375" customWidth="1"/>
  </cols>
  <sheetData>
    <row r="1" spans="1:6" ht="30" customHeight="1">
      <c r="A1" s="5" t="s">
        <v>16</v>
      </c>
      <c r="B1" s="5" t="s">
        <v>17</v>
      </c>
      <c r="C1" s="5" t="s">
        <v>57</v>
      </c>
      <c r="D1" s="5" t="s">
        <v>58</v>
      </c>
      <c r="E1" s="5" t="s">
        <v>59</v>
      </c>
      <c r="F1" s="5" t="s">
        <v>60</v>
      </c>
    </row>
    <row r="2" spans="1:6">
      <c r="A2" s="6" t="s">
        <v>22</v>
      </c>
      <c r="B2" s="6">
        <v>1</v>
      </c>
      <c r="C2" s="4">
        <f>SUMIFS(Actuals!$D:$D,Actuals!$C:$C,B2)*(1+Assumptions!$B$4)</f>
        <v>2748990.22</v>
      </c>
      <c r="D2" s="4">
        <f>SUMIFS(Actuals!$D:$D,Actuals!$C:$C,B2)*(1+Assumptions!$B$5)</f>
        <v>2515585.39</v>
      </c>
      <c r="E2" s="4">
        <f>C2*(1-Assumptions!$B$6)-ABS(SUMIFS(Actuals!$F:$F,Actuals!$C:$C,B2))*(1+Assumptions!$B$8)</f>
        <v>873307.0298000003</v>
      </c>
      <c r="F2" s="4">
        <f>D2*(1-Assumptions!$B$7)-ABS(SUMIFS(Actuals!$F:$F,Actuals!$C:$C,B2))*(1+Assumptions!$B$9)</f>
        <v>606182.5645000002</v>
      </c>
    </row>
    <row r="3" spans="1:6">
      <c r="A3" s="6" t="s">
        <v>23</v>
      </c>
      <c r="B3" s="6">
        <v>2</v>
      </c>
      <c r="C3" s="4">
        <f>SUMIFS(Actuals!$D:$D,Actuals!$C:$C,B3)*(1+Assumptions!$B$4)</f>
        <v>2652524.92</v>
      </c>
      <c r="D3" s="4">
        <f>SUMIFS(Actuals!$D:$D,Actuals!$C:$C,B3)*(1+Assumptions!$B$5)</f>
        <v>2427310.54</v>
      </c>
      <c r="E3" s="4">
        <f>C3*(1-Assumptions!$B$6)-ABS(SUMIFS(Actuals!$F:$F,Actuals!$C:$C,B3))*(1+Assumptions!$B$8)</f>
        <v>796940.3428000001</v>
      </c>
      <c r="F3" s="4">
        <f>D3*(1-Assumptions!$B$7)-ABS(SUMIFS(Actuals!$F:$F,Actuals!$C:$C,B3))*(1+Assumptions!$B$9)</f>
        <v>537431.0769999999</v>
      </c>
    </row>
    <row r="4" spans="1:6">
      <c r="A4" s="6" t="s">
        <v>24</v>
      </c>
      <c r="B4" s="6">
        <v>3</v>
      </c>
      <c r="C4" s="4">
        <f>SUMIFS(Actuals!$D:$D,Actuals!$C:$C,B4)*(1+Assumptions!$B$4)</f>
        <v>2791617.06</v>
      </c>
      <c r="D4" s="4">
        <f>SUMIFS(Actuals!$D:$D,Actuals!$C:$C,B4)*(1+Assumptions!$B$5)</f>
        <v>2554592.9699999997</v>
      </c>
      <c r="E4" s="4">
        <f>C4*(1-Assumptions!$B$6)-ABS(SUMIFS(Actuals!$F:$F,Actuals!$C:$C,B4))*(1+Assumptions!$B$8)</f>
        <v>853113.9054000002</v>
      </c>
      <c r="F4" s="4">
        <f>D4*(1-Assumptions!$B$7)-ABS(SUMIFS(Actuals!$F:$F,Actuals!$C:$C,B4))*(1+Assumptions!$B$9)</f>
        <v>580549.8134999999</v>
      </c>
    </row>
    <row r="5" spans="1:6">
      <c r="A5" s="6" t="s">
        <v>25</v>
      </c>
      <c r="B5" s="6">
        <v>4</v>
      </c>
      <c r="C5" s="4">
        <f>SUMIFS(Actuals!$D:$D,Actuals!$C:$C,B5)*(1+Assumptions!$B$4)</f>
        <v>3009439.64</v>
      </c>
      <c r="D5" s="4">
        <f>SUMIFS(Actuals!$D:$D,Actuals!$C:$C,B5)*(1+Assumptions!$B$5)</f>
        <v>2753921.1799999997</v>
      </c>
      <c r="E5" s="4">
        <f>C5*(1-Assumptions!$B$6)-ABS(SUMIFS(Actuals!$F:$F,Actuals!$C:$C,B5))*(1+Assumptions!$B$8)</f>
        <v>949548.3476000002</v>
      </c>
      <c r="F5" s="4">
        <f>D5*(1-Assumptions!$B$7)-ABS(SUMIFS(Actuals!$F:$F,Actuals!$C:$C,B5))*(1+Assumptions!$B$9)</f>
        <v>656865.5689999999</v>
      </c>
    </row>
    <row r="6" spans="1:6">
      <c r="A6" s="6" t="s">
        <v>26</v>
      </c>
      <c r="B6" s="6">
        <v>5</v>
      </c>
      <c r="C6" s="4">
        <f>SUMIFS(Actuals!$D:$D,Actuals!$C:$C,B6)*(1+Assumptions!$B$4)</f>
        <v>2874599.16</v>
      </c>
      <c r="D6" s="4">
        <f>SUMIFS(Actuals!$D:$D,Actuals!$C:$C,B6)*(1+Assumptions!$B$5)</f>
        <v>2630529.42</v>
      </c>
      <c r="E6" s="4">
        <f>C6*(1-Assumptions!$B$6)-ABS(SUMIFS(Actuals!$F:$F,Actuals!$C:$C,B6))*(1+Assumptions!$B$8)</f>
        <v>833355.3444000002</v>
      </c>
      <c r="F6" s="4">
        <f>D6*(1-Assumptions!$B$7)-ABS(SUMIFS(Actuals!$F:$F,Actuals!$C:$C,B6))*(1+Assumptions!$B$9)</f>
        <v>550953.861</v>
      </c>
    </row>
    <row r="7" spans="1:6">
      <c r="A7" s="6" t="s">
        <v>27</v>
      </c>
      <c r="B7" s="6">
        <v>6</v>
      </c>
      <c r="C7" s="4">
        <f>SUMIFS(Actuals!$D:$D,Actuals!$C:$C,B7)*(1+Assumptions!$B$4)</f>
        <v>3072839.3000000003</v>
      </c>
      <c r="D7" s="4">
        <f>SUMIFS(Actuals!$D:$D,Actuals!$C:$C,B7)*(1+Assumptions!$B$5)</f>
        <v>2811937.85</v>
      </c>
      <c r="E7" s="4">
        <f>C7*(1-Assumptions!$B$6)-ABS(SUMIFS(Actuals!$F:$F,Actuals!$C:$C,B7))*(1+Assumptions!$B$8)</f>
        <v>920291.1870000004</v>
      </c>
      <c r="F7" s="4">
        <f>D7*(1-Assumptions!$B$7)-ABS(SUMIFS(Actuals!$F:$F,Actuals!$C:$C,B7))*(1+Assumptions!$B$9)</f>
        <v>619547.8175</v>
      </c>
    </row>
    <row r="8" spans="1:6">
      <c r="A8" s="6" t="s">
        <v>28</v>
      </c>
      <c r="B8" s="6">
        <v>7</v>
      </c>
      <c r="C8" s="4">
        <f>SUMIFS(Actuals!$D:$D,Actuals!$C:$C,B8)*(1+Assumptions!$B$4)</f>
        <v>3274845.62</v>
      </c>
      <c r="D8" s="4">
        <f>SUMIFS(Actuals!$D:$D,Actuals!$C:$C,B8)*(1+Assumptions!$B$5)</f>
        <v>2996792.69</v>
      </c>
      <c r="E8" s="4">
        <f>C8*(1-Assumptions!$B$6)-ABS(SUMIFS(Actuals!$F:$F,Actuals!$C:$C,B8))*(1+Assumptions!$B$8)</f>
        <v>1037715.2358000003</v>
      </c>
      <c r="F8" s="4">
        <f>D8*(1-Assumptions!$B$7)-ABS(SUMIFS(Actuals!$F:$F,Actuals!$C:$C,B8))*(1+Assumptions!$B$9)</f>
        <v>719390.6195</v>
      </c>
    </row>
    <row r="9" spans="1:6">
      <c r="A9" s="6" t="s">
        <v>29</v>
      </c>
      <c r="B9" s="6">
        <v>8</v>
      </c>
      <c r="C9" s="4">
        <f>SUMIFS(Actuals!$D:$D,Actuals!$C:$C,B9)*(1+Assumptions!$B$4)</f>
        <v>3148031.46</v>
      </c>
      <c r="D9" s="4">
        <f>SUMIFS(Actuals!$D:$D,Actuals!$C:$C,B9)*(1+Assumptions!$B$5)</f>
        <v>2880745.77</v>
      </c>
      <c r="E9" s="4">
        <f>C9*(1-Assumptions!$B$6)-ABS(SUMIFS(Actuals!$F:$F,Actuals!$C:$C,B9))*(1+Assumptions!$B$8)</f>
        <v>909525.2014000003</v>
      </c>
      <c r="F9" s="4">
        <f>D9*(1-Assumptions!$B$7)-ABS(SUMIFS(Actuals!$F:$F,Actuals!$C:$C,B9))*(1+Assumptions!$B$9)</f>
        <v>600142.4535</v>
      </c>
    </row>
    <row r="10" spans="1:6">
      <c r="A10" s="6" t="s">
        <v>30</v>
      </c>
      <c r="B10" s="6">
        <v>9</v>
      </c>
      <c r="C10" s="4">
        <f>SUMIFS(Actuals!$D:$D,Actuals!$C:$C,B10)*(1+Assumptions!$B$4)</f>
        <v>3357482.16</v>
      </c>
      <c r="D10" s="4">
        <f>SUMIFS(Actuals!$D:$D,Actuals!$C:$C,B10)*(1+Assumptions!$B$5)</f>
        <v>3072412.92</v>
      </c>
      <c r="E10" s="4">
        <f>C10*(1-Assumptions!$B$6)-ABS(SUMIFS(Actuals!$F:$F,Actuals!$C:$C,B10))*(1+Assumptions!$B$8)</f>
        <v>1009105.1944000004</v>
      </c>
      <c r="F10" s="4">
        <f>D10*(1-Assumptions!$B$7)-ABS(SUMIFS(Actuals!$F:$F,Actuals!$C:$C,B10))*(1+Assumptions!$B$9)</f>
        <v>680640.5460000001</v>
      </c>
    </row>
    <row r="11" spans="1:6">
      <c r="A11" s="6" t="s">
        <v>31</v>
      </c>
      <c r="B11" s="6">
        <v>10</v>
      </c>
      <c r="C11" s="4">
        <f>SUMIFS(Actuals!$D:$D,Actuals!$C:$C,B11)*(1+Assumptions!$B$4)</f>
        <v>3600124.64</v>
      </c>
      <c r="D11" s="4">
        <f>SUMIFS(Actuals!$D:$D,Actuals!$C:$C,B11)*(1+Assumptions!$B$5)</f>
        <v>3294453.6799999997</v>
      </c>
      <c r="E11" s="4">
        <f>C11*(1-Assumptions!$B$6)-ABS(SUMIFS(Actuals!$F:$F,Actuals!$C:$C,B11))*(1+Assumptions!$B$8)</f>
        <v>1114282.4176000003</v>
      </c>
      <c r="F11" s="4">
        <f>D11*(1-Assumptions!$B$7)-ABS(SUMIFS(Actuals!$F:$F,Actuals!$C:$C,B11))*(1+Assumptions!$B$9)</f>
        <v>763320.284</v>
      </c>
    </row>
    <row r="12" spans="1:6">
      <c r="A12" s="6" t="s">
        <v>32</v>
      </c>
      <c r="B12" s="6">
        <v>11</v>
      </c>
      <c r="C12" s="4">
        <f>SUMIFS(Actuals!$D:$D,Actuals!$C:$C,B12)*(1+Assumptions!$B$4)</f>
        <v>3618575.0</v>
      </c>
      <c r="D12" s="4">
        <f>SUMIFS(Actuals!$D:$D,Actuals!$C:$C,B12)*(1+Assumptions!$B$5)</f>
        <v>3311337.5</v>
      </c>
      <c r="E12" s="4">
        <f>C12*(1-Assumptions!$B$6)-ABS(SUMIFS(Actuals!$F:$F,Actuals!$C:$C,B12))*(1+Assumptions!$B$8)</f>
        <v>1104082.1300000004</v>
      </c>
      <c r="F12" s="4">
        <f>D12*(1-Assumptions!$B$7)-ABS(SUMIFS(Actuals!$F:$F,Actuals!$C:$C,B12))*(1+Assumptions!$B$9)</f>
        <v>750709.3850000002</v>
      </c>
    </row>
    <row r="13" spans="1:6">
      <c r="A13" s="6" t="s">
        <v>33</v>
      </c>
      <c r="B13" s="6">
        <v>12</v>
      </c>
      <c r="C13" s="4">
        <f>SUMIFS(Actuals!$D:$D,Actuals!$C:$C,B13)*(1+Assumptions!$B$4)</f>
        <v>3635121.6</v>
      </c>
      <c r="D13" s="4">
        <f>SUMIFS(Actuals!$D:$D,Actuals!$C:$C,B13)*(1+Assumptions!$B$5)</f>
        <v>3326479.1999999997</v>
      </c>
      <c r="E13" s="4">
        <f>C13*(1-Assumptions!$B$6)-ABS(SUMIFS(Actuals!$F:$F,Actuals!$C:$C,B13))*(1+Assumptions!$B$8)</f>
        <v>1077008.8640000003</v>
      </c>
      <c r="F13" s="4">
        <f>D13*(1-Assumptions!$B$7)-ABS(SUMIFS(Actuals!$F:$F,Actuals!$C:$C,B13))*(1+Assumptions!$B$9)</f>
        <v>720784.8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6"/>
  <sheetViews>
    <sheetView showGridLines="0" workbookViewId="0"/>
  </sheetViews>
  <sheetFormatPr defaultRowHeight="15"/>
  <cols>
    <col min="1" max="1" width="2.7109375" customWidth="1"/>
    <col min="2" max="14" width="12.7109375" customWidth="1"/>
  </cols>
  <sheetData>
    <row r="2" spans="2:12">
      <c r="B2" s="1" t="s">
        <v>61</v>
      </c>
    </row>
    <row r="4" spans="2:12">
      <c r="B4" s="2" t="s">
        <v>49</v>
      </c>
      <c r="C4" s="2"/>
      <c r="E4" s="2" t="s">
        <v>50</v>
      </c>
      <c r="F4" s="2"/>
      <c r="H4" s="2" t="s">
        <v>51</v>
      </c>
      <c r="I4" s="2"/>
      <c r="K4" s="2" t="s">
        <v>52</v>
      </c>
      <c r="L4" s="2"/>
    </row>
    <row r="5" spans="2:12">
      <c r="B5" s="9">
        <v>35645463</v>
      </c>
      <c r="C5" s="9"/>
      <c r="E5" s="9">
        <v>36635040</v>
      </c>
      <c r="F5" s="9"/>
      <c r="H5" s="9">
        <v>-989577</v>
      </c>
      <c r="I5" s="9"/>
      <c r="K5" s="9">
        <v>10366229</v>
      </c>
      <c r="L5" s="9"/>
    </row>
    <row r="6" spans="2:12">
      <c r="B6" s="9"/>
      <c r="C6" s="9"/>
      <c r="E6" s="9"/>
      <c r="F6" s="9"/>
      <c r="H6" s="9"/>
      <c r="I6" s="9"/>
      <c r="K6" s="9"/>
      <c r="L6" s="9"/>
    </row>
  </sheetData>
  <mergeCells count="8">
    <mergeCell ref="B4:C4"/>
    <mergeCell ref="B5:C6"/>
    <mergeCell ref="E4:F4"/>
    <mergeCell ref="E5:F6"/>
    <mergeCell ref="H4:I4"/>
    <mergeCell ref="H5:I6"/>
    <mergeCell ref="K4:L4"/>
    <mergeCell ref="K5:L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2.7109375" customWidth="1"/>
  </cols>
  <sheetData>
    <row r="1" spans="1:3" ht="30" customHeight="1">
      <c r="A1" s="1" t="s">
        <v>62</v>
      </c>
    </row>
    <row r="3" spans="1:3">
      <c r="A3" s="5" t="s">
        <v>63</v>
      </c>
      <c r="B3" s="5" t="s">
        <v>64</v>
      </c>
      <c r="C3" s="5" t="s">
        <v>65</v>
      </c>
    </row>
    <row r="4" spans="1:3">
      <c r="A4" s="6" t="s">
        <v>66</v>
      </c>
      <c r="B4" s="4">
        <f>SUM(Actuals!D:D)</f>
        <v>35645463</v>
      </c>
      <c r="C4" s="4">
        <v>35645463</v>
      </c>
    </row>
    <row r="5" spans="1:3">
      <c r="A5" s="6" t="s">
        <v>67</v>
      </c>
      <c r="B5" s="4">
        <f>SUM(Budget!D:D)</f>
        <v>36635040</v>
      </c>
      <c r="C5" s="4">
        <v>36635040</v>
      </c>
    </row>
    <row r="6" spans="1:3">
      <c r="A6" s="6" t="s">
        <v>68</v>
      </c>
      <c r="B6" s="4">
        <f>SUM(Analysis!E:E)-(SUM(Analysis!C:C)-SUM(Analysis!D:D))</f>
        <v>0</v>
      </c>
      <c r="C6" s="4">
        <v>0</v>
      </c>
    </row>
    <row r="7" spans="1:3">
      <c r="A7" s="6" t="s">
        <v>69</v>
      </c>
      <c r="B7" s="6">
        <f>COUNTIF(Analysis!J:J,"Review")</f>
        <v>25</v>
      </c>
      <c r="C7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Actuals</vt:lpstr>
      <vt:lpstr>Budget</vt:lpstr>
      <vt:lpstr>Assumptions</vt:lpstr>
      <vt:lpstr>Analysis</vt:lpstr>
      <vt:lpstr>Forecast</vt:lpstr>
      <vt:lpstr>Dashboard</vt:lpstr>
      <vt:lpstr>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