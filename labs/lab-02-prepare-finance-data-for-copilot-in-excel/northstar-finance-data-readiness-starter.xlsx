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Transactions" sheetId="2" r:id="rId2"/>
    <sheet name="Quality &amp; Controls" sheetId="3" r:id="rId3"/>
  </sheets>
  <calcPr calcId="124519" fullCalcOnLoad="1"/>
</workbook>
</file>

<file path=xl/sharedStrings.xml><?xml version="1.0" encoding="utf-8"?>
<sst xmlns="http://schemas.openxmlformats.org/spreadsheetml/2006/main" count="1127" uniqueCount="306">
  <si>
    <t>Lab 2: Prepare Finance Data for Copilot in Excel</t>
  </si>
  <si>
    <t>Course</t>
  </si>
  <si>
    <t>Generative AI for Finance and Fintech (TGS-2026065050)</t>
  </si>
  <si>
    <t>TSC mapping</t>
  </si>
  <si>
    <t>K1 · A2</t>
  </si>
  <si>
    <t>Objective</t>
  </si>
  <si>
    <t>Convert messy finance transactions into an analysis-ready Excel Table with control totals.</t>
  </si>
  <si>
    <t>Scenario</t>
  </si>
  <si>
    <t>The FP&amp;A team receives a mixed-quality export from the billing system and must prepare it for Copilot analysis.</t>
  </si>
  <si>
    <t>Expected output</t>
  </si>
  <si>
    <t>A clean transactions table, quality log and reconciled control totals.</t>
  </si>
  <si>
    <t>Data notice</t>
  </si>
  <si>
    <t>All names, accounts, transactions and scores are synthetic. Do not replace them with live personal or customer data.</t>
  </si>
  <si>
    <t>Acceptance</t>
  </si>
  <si>
    <t>Duplicate count is zero, required-field errors are zero, and clean totals reconcile to the supplied control figures.</t>
  </si>
  <si>
    <t>Transaction ID</t>
  </si>
  <si>
    <t>Date</t>
  </si>
  <si>
    <t>Department</t>
  </si>
  <si>
    <t>Region</t>
  </si>
  <si>
    <t>Account</t>
  </si>
  <si>
    <t>Amount SGD</t>
  </si>
  <si>
    <t>Counterparty</t>
  </si>
  <si>
    <t>Status</t>
  </si>
  <si>
    <t>Required check</t>
  </si>
  <si>
    <t>Duplicate check</t>
  </si>
  <si>
    <t>Sign check</t>
  </si>
  <si>
    <t>TXN-00001</t>
  </si>
  <si>
    <t>Retail</t>
  </si>
  <si>
    <t>Malaysia</t>
  </si>
  <si>
    <t>6100 Marketing</t>
  </si>
  <si>
    <t>VEND-011</t>
  </si>
  <si>
    <t>Approved</t>
  </si>
  <si>
    <t>TXN-00002</t>
  </si>
  <si>
    <t>Hong Kong</t>
  </si>
  <si>
    <t>4000 Revenue</t>
  </si>
  <si>
    <t>CUST-015</t>
  </si>
  <si>
    <t>TXN-00003</t>
  </si>
  <si>
    <t>Digital</t>
  </si>
  <si>
    <t>5000 Cost of Sales</t>
  </si>
  <si>
    <t>Pending</t>
  </si>
  <si>
    <t>TXN-00004</t>
  </si>
  <si>
    <t>Singapore</t>
  </si>
  <si>
    <t>VEND-024</t>
  </si>
  <si>
    <t>TXN-00005</t>
  </si>
  <si>
    <t>4100 Service Revenue</t>
  </si>
  <si>
    <t>CUST-031</t>
  </si>
  <si>
    <t>TXN-00006</t>
  </si>
  <si>
    <t>SME</t>
  </si>
  <si>
    <t>CUST-033</t>
  </si>
  <si>
    <t>TXN-00007</t>
  </si>
  <si>
    <t>Australia</t>
  </si>
  <si>
    <t>VEND-027</t>
  </si>
  <si>
    <t>TXN-00008</t>
  </si>
  <si>
    <t>CUST-034</t>
  </si>
  <si>
    <t>TXN-00009</t>
  </si>
  <si>
    <t>6300 People</t>
  </si>
  <si>
    <t>VEND-025</t>
  </si>
  <si>
    <t>TXN-00010</t>
  </si>
  <si>
    <t>6200 Technology</t>
  </si>
  <si>
    <t>VEND-022</t>
  </si>
  <si>
    <t>TXN-00011</t>
  </si>
  <si>
    <t>Enterprise</t>
  </si>
  <si>
    <t>VEND-017</t>
  </si>
  <si>
    <t>TXN-00012</t>
  </si>
  <si>
    <t>CUST-026</t>
  </si>
  <si>
    <t>TXN-00013</t>
  </si>
  <si>
    <t>VEND-015</t>
  </si>
  <si>
    <t>TXN-00014</t>
  </si>
  <si>
    <t>VEND-023</t>
  </si>
  <si>
    <t>TXN-00015</t>
  </si>
  <si>
    <t>TXN-00016</t>
  </si>
  <si>
    <t>VEND-016</t>
  </si>
  <si>
    <t>TXN-00017</t>
  </si>
  <si>
    <t>VEND-010</t>
  </si>
  <si>
    <t>TXN-00018</t>
  </si>
  <si>
    <t>2026/99/99</t>
  </si>
  <si>
    <t>VEND-012</t>
  </si>
  <si>
    <t>TXN-00019</t>
  </si>
  <si>
    <t>CUST-011</t>
  </si>
  <si>
    <t>TXN-00020</t>
  </si>
  <si>
    <t>VEND-007</t>
  </si>
  <si>
    <t>TXN-00021</t>
  </si>
  <si>
    <t>VEND-028</t>
  </si>
  <si>
    <t>TXN-00022</t>
  </si>
  <si>
    <t>TXN-00023</t>
  </si>
  <si>
    <t>VEND-018</t>
  </si>
  <si>
    <t>TXN-00024</t>
  </si>
  <si>
    <t>TXN-00025</t>
  </si>
  <si>
    <t>CUST-035</t>
  </si>
  <si>
    <t>TXN-00026</t>
  </si>
  <si>
    <t>TXN-00027</t>
  </si>
  <si>
    <t>VEND-006</t>
  </si>
  <si>
    <t>TXN-00028</t>
  </si>
  <si>
    <t>CUST-023</t>
  </si>
  <si>
    <t>TXN-00029</t>
  </si>
  <si>
    <t>VEND-029</t>
  </si>
  <si>
    <t>TXN-00030</t>
  </si>
  <si>
    <t>VEND-004</t>
  </si>
  <si>
    <t>TXN-00031</t>
  </si>
  <si>
    <t>TXN-00033</t>
  </si>
  <si>
    <t>VEND-032</t>
  </si>
  <si>
    <t>TXN-00034</t>
  </si>
  <si>
    <t>VEND-031</t>
  </si>
  <si>
    <t>TXN-00035</t>
  </si>
  <si>
    <t>VEND-026</t>
  </si>
  <si>
    <t>TXN-00036</t>
  </si>
  <si>
    <t>VEND-021</t>
  </si>
  <si>
    <t>TXN-00037</t>
  </si>
  <si>
    <t>TXN-00038</t>
  </si>
  <si>
    <t>TXN-00039</t>
  </si>
  <si>
    <t>VEND-034</t>
  </si>
  <si>
    <t>TXN-00040</t>
  </si>
  <si>
    <t>TXN-00041</t>
  </si>
  <si>
    <t>VEND-030</t>
  </si>
  <si>
    <t>TXN-00042</t>
  </si>
  <si>
    <t>CUST-009</t>
  </si>
  <si>
    <t>TXN-00043</t>
  </si>
  <si>
    <t>CUST-050</t>
  </si>
  <si>
    <t>TXN-00044</t>
  </si>
  <si>
    <t>VEND-002</t>
  </si>
  <si>
    <t>TXN-00045</t>
  </si>
  <si>
    <t>VEND-020</t>
  </si>
  <si>
    <t>TXN-00046</t>
  </si>
  <si>
    <t>TXN-00047</t>
  </si>
  <si>
    <t>TXN-00048</t>
  </si>
  <si>
    <t>VEND-009</t>
  </si>
  <si>
    <t>TXN-00049</t>
  </si>
  <si>
    <t>TXN-00050</t>
  </si>
  <si>
    <t>CUST-001</t>
  </si>
  <si>
    <t>TXN-00051</t>
  </si>
  <si>
    <t>CUST-004</t>
  </si>
  <si>
    <t>TXN-00052</t>
  </si>
  <si>
    <t>TXN-00053</t>
  </si>
  <si>
    <t>CUST-036</t>
  </si>
  <si>
    <t>TXN-00054</t>
  </si>
  <si>
    <t>TXN-00055</t>
  </si>
  <si>
    <t>VEND-005</t>
  </si>
  <si>
    <t>TXN-00056</t>
  </si>
  <si>
    <t>CUST-030</t>
  </si>
  <si>
    <t>TXN-00057</t>
  </si>
  <si>
    <t>TXN-00058</t>
  </si>
  <si>
    <t>TXN-00059</t>
  </si>
  <si>
    <t>VEND-008</t>
  </si>
  <si>
    <t>TXN-00060</t>
  </si>
  <si>
    <t>TXN-00061</t>
  </si>
  <si>
    <t>CUST-047</t>
  </si>
  <si>
    <t>TXN-00062</t>
  </si>
  <si>
    <t>CUST-021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</si>
  <si>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</si>
  <si>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</si>
  <si>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</si>
  <si>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</si>
  <si>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</si>
  <si>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</si>
  <si>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</si>
  <si>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</si>
  <si>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</si>
  <si>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</si>
  <si>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CUST-040</t>
  </si>
  <si>
    <t>TXN-00073</t>
  </si>
  <si>
    <t>1,250?</t>
  </si>
  <si>
    <t>VEND-019</t>
  </si>
  <si>
    <t>TXN-00074</t>
  </si>
  <si>
    <t>TXN-00075</t>
  </si>
  <si>
    <t>VEND-013</t>
  </si>
  <si>
    <t>TXN-00076</t>
  </si>
  <si>
    <t>CUST-043</t>
  </si>
  <si>
    <t>TXN-00077</t>
  </si>
  <si>
    <t>TXN-00078</t>
  </si>
  <si>
    <t>TXN-00079</t>
  </si>
  <si>
    <t>TXN-00080</t>
  </si>
  <si>
    <t>CUST-044</t>
  </si>
  <si>
    <t>TXN-00081</t>
  </si>
  <si>
    <t>CUST-048</t>
  </si>
  <si>
    <t>TXN-00082</t>
  </si>
  <si>
    <t>TXN-00083</t>
  </si>
  <si>
    <t>TXN-00084</t>
  </si>
  <si>
    <t>VEND-001</t>
  </si>
  <si>
    <t>TXN-00085</t>
  </si>
  <si>
    <t>VEND-033</t>
  </si>
  <si>
    <t>TXN-00086</t>
  </si>
  <si>
    <t>TXN-00087</t>
  </si>
  <si>
    <t>TXN-00088</t>
  </si>
  <si>
    <t>TXN-00089</t>
  </si>
  <si>
    <t>TXN-00090</t>
  </si>
  <si>
    <t>TXN-00091</t>
  </si>
  <si>
    <t>CUST-012</t>
  </si>
  <si>
    <t>TXN-00092</t>
  </si>
  <si>
    <t>TXN-00093</t>
  </si>
  <si>
    <t>TXN-00094</t>
  </si>
  <si>
    <t>CUST-039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</si>
  <si>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</si>
  <si>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</si>
  <si>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</si>
  <si>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</si>
  <si>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</si>
  <si>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</si>
  <si>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</si>
  <si>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</si>
  <si>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CUST-022</t>
  </si>
  <si>
    <t>TXN-00103</t>
  </si>
  <si>
    <t>TXN-00104</t>
  </si>
  <si>
    <t>TXN-00105</t>
  </si>
  <si>
    <t>TXN-00106</t>
  </si>
  <si>
    <t>VEND-014</t>
  </si>
  <si>
    <t>TXN-00107</t>
  </si>
  <si>
    <t>TXN-00108</t>
  </si>
  <si>
    <t>TXN-00109</t>
  </si>
  <si>
    <t>TXN-00110</t>
  </si>
  <si>
    <t>CUST-046</t>
  </si>
  <si>
    <t>TXN-00111</t>
  </si>
  <si>
    <t>TXN-00112</t>
  </si>
  <si>
    <t>CUST-029</t>
  </si>
  <si>
    <t>TXN-00113</t>
  </si>
  <si>
    <t>CUST-038</t>
  </si>
  <si>
    <t>TXN-00114</t>
  </si>
  <si>
    <t>TXN-00115</t>
  </si>
  <si>
    <t>TXN-00116</t>
  </si>
  <si>
    <t>TXN-00117</t>
  </si>
  <si>
    <t>VEND-003</t>
  </si>
  <si>
    <t>TXN-00118</t>
  </si>
  <si>
    <t>TXN-00119</t>
  </si>
  <si>
    <t>TXN-00120</t>
  </si>
  <si>
    <t>TXN-00121</t>
  </si>
  <si>
    <t>TXN-00122</t>
  </si>
  <si>
    <t>TXN-00123</t>
  </si>
  <si>
    <t>CUST-049</t>
  </si>
  <si>
    <t>TXN-00124</t>
  </si>
  <si>
    <t>TXN-00125</t>
  </si>
  <si>
    <t>TXN-00126</t>
  </si>
  <si>
    <t>CUST-010</t>
  </si>
  <si>
    <t>TXN-00127</t>
  </si>
  <si>
    <t>TXN-00128</t>
  </si>
  <si>
    <t>TXN-00129</t>
  </si>
  <si>
    <t>TXN-00130</t>
  </si>
  <si>
    <t>TXN-00131</t>
  </si>
  <si>
    <t>TXN-00132</t>
  </si>
  <si>
    <t>CUST-041</t>
  </si>
  <si>
    <t>TXN-00133</t>
  </si>
  <si>
    <t>TXN-00134</t>
  </si>
  <si>
    <t>TXN-00135</t>
  </si>
  <si>
    <t>TXN-00136</t>
  </si>
  <si>
    <t>TXN-00137</t>
  </si>
  <si>
    <t>CUST-028</t>
  </si>
  <si>
    <t>TXN-00138</t>
  </si>
  <si>
    <t>TXN-00139</t>
  </si>
  <si>
    <t>TXN-00140</t>
  </si>
  <si>
    <t>TXN-00141</t>
  </si>
  <si>
    <t>TXN-00142</t>
  </si>
  <si>
    <t>TXN-00143</t>
  </si>
  <si>
    <t>TXN-00144</t>
  </si>
  <si>
    <t>CUST-027</t>
  </si>
  <si>
    <t>TXN-00145</t>
  </si>
  <si>
    <t>CUST-007</t>
  </si>
  <si>
    <t>TXN-00146</t>
  </si>
  <si>
    <t>TXN-00147</t>
  </si>
  <si>
    <t>TXN-00148</t>
  </si>
  <si>
    <t>TXN-00149</t>
  </si>
  <si>
    <t>TXN-00150</t>
  </si>
  <si>
    <t>CUST-037</t>
  </si>
  <si>
    <t>TXN-00151</t>
  </si>
  <si>
    <t>TXN-00152</t>
  </si>
  <si>
    <t>TXN-00153</t>
  </si>
  <si>
    <t>TXN-00154</t>
  </si>
  <si>
    <t>TXN-00155</t>
  </si>
  <si>
    <t>TXN-00156</t>
  </si>
  <si>
    <t>TXN-00157</t>
  </si>
  <si>
    <t>CUST-016</t>
  </si>
  <si>
    <t>TXN-00158</t>
  </si>
  <si>
    <t>TXN-00159</t>
  </si>
  <si>
    <t>TXN-00160</t>
  </si>
  <si>
    <t>TXN-00161</t>
  </si>
  <si>
    <t>TXN-00162</t>
  </si>
  <si>
    <t>TXN-00163</t>
  </si>
  <si>
    <t>CUST-017</t>
  </si>
  <si>
    <t>TXN-00164</t>
  </si>
  <si>
    <t>TXN-00165</t>
  </si>
  <si>
    <t>TXN-00166</t>
  </si>
  <si>
    <t>TXN-00167</t>
  </si>
  <si>
    <t>TXN-00168</t>
  </si>
  <si>
    <t>TXN-00169</t>
  </si>
  <si>
    <t>TXN-00170</t>
  </si>
  <si>
    <t>CUST-008</t>
  </si>
  <si>
    <t>TXN-00171</t>
  </si>
  <si>
    <t>TXN-00172</t>
  </si>
  <si>
    <t>TXN-00173</t>
  </si>
  <si>
    <t>TXN-00174</t>
  </si>
  <si>
    <t>TXN-00175</t>
  </si>
  <si>
    <t>TXN-00176</t>
  </si>
  <si>
    <t>TXN-00177</t>
  </si>
  <si>
    <t>CUST-032</t>
  </si>
  <si>
    <t>TXN-00178</t>
  </si>
  <si>
    <t>TXN-00179</t>
  </si>
  <si>
    <t>CUST-045</t>
  </si>
  <si>
    <t>TXN-00180</t>
  </si>
  <si>
    <t>CUST-025</t>
  </si>
  <si>
    <t>Data quality and control totals</t>
  </si>
  <si>
    <t>Control</t>
  </si>
  <si>
    <t>Calculated</t>
  </si>
  <si>
    <t>Expected / pass</t>
  </si>
  <si>
    <t>Row count</t>
  </si>
  <si>
    <t>Duplicate IDs</t>
  </si>
  <si>
    <t>Required-field errors</t>
  </si>
  <si>
    <t>Sign checks</t>
  </si>
  <si>
    <t>Revenue total</t>
  </si>
  <si>
    <t>Expense total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</si>
</sst>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$#,##0.00;[Red]-$#,##0.0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eTransactions" displayName="FinanceTransactions" ref="A1:K181" totalsRowShown="0">
  <autoFilter ref="A1:K181"/>
  <tableColumns count="11">
    <tableColumn id="1" name="Transaction ID"/>
    <tableColumn id="2" name="Date"/>
    <tableColumn id="3" name="Department"/>
    <tableColumn id="4" name="Region"/>
    <tableColumn id="5" name="Account"/>
    <tableColumn id="6" name="Amount SGD"/>
    <tableColumn id="7" name="Counterparty"/>
    <tableColumn id="8" name="Status"/>
    <tableColumn id="9" name="Required check"/>
    <tableColumn id="10" name="Duplicate check"/>
    <tableColumn id="11" name="Sign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5.7109375" customWidth="1"/>
    <col min="4" max="4" width="14.7109375" customWidth="1"/>
    <col min="5" max="5" width="22.7109375" customWidth="1"/>
    <col min="6" max="6" width="14.7109375" customWidth="1"/>
    <col min="7" max="7" width="15.7109375" customWidth="1"/>
    <col min="8" max="8" width="12.7109375" customWidth="1"/>
    <col min="9" max="10" width="14.7109375" customWidth="1"/>
    <col min="11" max="11" width="16.7109375" customWidth="1"/>
  </cols>
  <sheetData>
    <row r="1" spans="1:11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s="4" t="s">
        <v>26</v>
      </c>
      <c r="B2" s="5">
        <v>46071</v>
      </c>
      <c r="C2" s="4" t="s">
        <v>27</v>
      </c>
      <c r="D2" s="4" t="s">
        <v>28</v>
      </c>
      <c r="E2" s="4" t="s">
        <v>29</v>
      </c>
      <c r="F2" s="6">
        <v>-36108.98</v>
      </c>
      <c r="G2" s="4" t="s">
        <v>30</v>
      </c>
      <c r="H2" s="4" t="s">
        <v>31</v>
      </c>
      <c r="I2" s="4"/>
      <c r="J2" s="4"/>
      <c r="K2" s="4"/>
    </row>
    <row r="3" spans="1:11">
      <c r="A3" s="4" t="s">
        <v>32</v>
      </c>
      <c r="B3" s="5">
        <v>46184</v>
      </c>
      <c r="C3" s="4" t="s">
        <v>27</v>
      </c>
      <c r="D3" s="4" t="s">
        <v>33</v>
      </c>
      <c r="E3" s="4" t="s">
        <v>34</v>
      </c>
      <c r="F3" s="6">
        <v>49621.43</v>
      </c>
      <c r="G3" s="4" t="s">
        <v>35</v>
      </c>
      <c r="H3" s="4" t="s">
        <v>31</v>
      </c>
      <c r="I3" s="4"/>
      <c r="J3" s="4"/>
      <c r="K3" s="4"/>
    </row>
    <row r="4" spans="1:11">
      <c r="A4" s="4" t="s">
        <v>36</v>
      </c>
      <c r="B4" s="5">
        <v>46075</v>
      </c>
      <c r="C4" s="4" t="s">
        <v>37</v>
      </c>
      <c r="D4" s="4" t="s">
        <v>28</v>
      </c>
      <c r="E4" s="4" t="s">
        <v>38</v>
      </c>
      <c r="F4" s="6">
        <v>-59351.33</v>
      </c>
      <c r="G4" s="4" t="s">
        <v>30</v>
      </c>
      <c r="H4" s="4" t="s">
        <v>39</v>
      </c>
      <c r="I4" s="4"/>
      <c r="J4" s="4"/>
      <c r="K4" s="4"/>
    </row>
    <row r="5" spans="1:11">
      <c r="A5" s="4" t="s">
        <v>40</v>
      </c>
      <c r="B5" s="5">
        <v>46201</v>
      </c>
      <c r="C5" s="4" t="s">
        <v>27</v>
      </c>
      <c r="D5" s="4" t="s">
        <v>41</v>
      </c>
      <c r="E5" s="4" t="s">
        <v>38</v>
      </c>
      <c r="F5" s="6">
        <v>-22247.61</v>
      </c>
      <c r="G5" s="4" t="s">
        <v>42</v>
      </c>
      <c r="H5" s="4" t="s">
        <v>31</v>
      </c>
      <c r="I5" s="4"/>
      <c r="J5" s="4"/>
      <c r="K5" s="4"/>
    </row>
    <row r="6" spans="1:11">
      <c r="A6" s="4" t="s">
        <v>43</v>
      </c>
      <c r="B6" s="5">
        <v>46185</v>
      </c>
      <c r="C6" s="4"/>
      <c r="D6" s="4" t="s">
        <v>33</v>
      </c>
      <c r="E6" s="4" t="s">
        <v>44</v>
      </c>
      <c r="F6" s="6">
        <v>25279.35</v>
      </c>
      <c r="G6" s="4" t="s">
        <v>45</v>
      </c>
      <c r="H6" s="4" t="s">
        <v>31</v>
      </c>
      <c r="I6" s="4"/>
      <c r="J6" s="4"/>
      <c r="K6" s="4"/>
    </row>
    <row r="7" spans="1:11">
      <c r="A7" s="4" t="s">
        <v>46</v>
      </c>
      <c r="B7" s="5">
        <v>46120</v>
      </c>
      <c r="C7" s="4" t="s">
        <v>47</v>
      </c>
      <c r="D7" s="4" t="s">
        <v>28</v>
      </c>
      <c r="E7" s="4" t="s">
        <v>44</v>
      </c>
      <c r="F7" s="6">
        <v>21900.95</v>
      </c>
      <c r="G7" s="4" t="s">
        <v>48</v>
      </c>
      <c r="H7" s="4" t="s">
        <v>31</v>
      </c>
      <c r="I7" s="4"/>
      <c r="J7" s="4"/>
      <c r="K7" s="4"/>
    </row>
    <row r="8" spans="1:11">
      <c r="A8" s="4" t="s">
        <v>49</v>
      </c>
      <c r="B8" s="5">
        <v>46196</v>
      </c>
      <c r="C8" s="4" t="s">
        <v>37</v>
      </c>
      <c r="D8" s="4" t="s">
        <v>50</v>
      </c>
      <c r="E8" s="4" t="s">
        <v>29</v>
      </c>
      <c r="F8" s="6">
        <v>-17646.81</v>
      </c>
      <c r="G8" s="4" t="s">
        <v>51</v>
      </c>
      <c r="H8" s="4" t="s">
        <v>31</v>
      </c>
      <c r="I8" s="4"/>
      <c r="J8" s="4"/>
      <c r="K8" s="4"/>
    </row>
    <row r="9" spans="1:11">
      <c r="A9" s="4" t="s">
        <v>52</v>
      </c>
      <c r="B9" s="5">
        <v>46164</v>
      </c>
      <c r="C9" s="4" t="s">
        <v>37</v>
      </c>
      <c r="D9" s="4" t="s">
        <v>28</v>
      </c>
      <c r="E9" s="4" t="s">
        <v>34</v>
      </c>
      <c r="F9" s="6">
        <v>47792.89</v>
      </c>
      <c r="G9" s="4" t="s">
        <v>53</v>
      </c>
      <c r="H9" s="4" t="s">
        <v>31</v>
      </c>
      <c r="I9" s="4"/>
      <c r="J9" s="4"/>
      <c r="K9" s="4"/>
    </row>
    <row r="10" spans="1:11">
      <c r="A10" s="4" t="s">
        <v>54</v>
      </c>
      <c r="B10" s="5">
        <v>46181</v>
      </c>
      <c r="C10" s="4" t="s">
        <v>47</v>
      </c>
      <c r="D10" s="4" t="s">
        <v>33</v>
      </c>
      <c r="E10" s="4" t="s">
        <v>55</v>
      </c>
      <c r="F10" s="6">
        <v>-58753.72</v>
      </c>
      <c r="G10" s="4" t="s">
        <v>56</v>
      </c>
      <c r="H10" s="4" t="s">
        <v>31</v>
      </c>
      <c r="I10" s="4"/>
      <c r="J10" s="4"/>
      <c r="K10" s="4"/>
    </row>
    <row r="11" spans="1:11">
      <c r="A11" s="4" t="s">
        <v>57</v>
      </c>
      <c r="B11" s="5">
        <v>46174</v>
      </c>
      <c r="C11" s="4" t="s">
        <v>47</v>
      </c>
      <c r="D11" s="4" t="s">
        <v>28</v>
      </c>
      <c r="E11" s="4" t="s">
        <v>58</v>
      </c>
      <c r="F11" s="6">
        <v>-20895.11</v>
      </c>
      <c r="G11" s="4" t="s">
        <v>59</v>
      </c>
      <c r="H11" s="4" t="s">
        <v>39</v>
      </c>
      <c r="I11" s="4"/>
      <c r="J11" s="4"/>
      <c r="K11" s="4"/>
    </row>
    <row r="12" spans="1:11">
      <c r="A12" s="4" t="s">
        <v>60</v>
      </c>
      <c r="B12" s="5">
        <v>46096</v>
      </c>
      <c r="C12" s="4" t="s">
        <v>61</v>
      </c>
      <c r="D12" s="4" t="s">
        <v>41</v>
      </c>
      <c r="E12" s="4" t="s">
        <v>55</v>
      </c>
      <c r="F12" s="6">
        <v>-30682.2</v>
      </c>
      <c r="G12" s="4" t="s">
        <v>62</v>
      </c>
      <c r="H12" s="4" t="s">
        <v>31</v>
      </c>
      <c r="I12" s="4"/>
      <c r="J12" s="4"/>
      <c r="K12" s="4"/>
    </row>
    <row r="13" spans="1:11">
      <c r="A13" s="4" t="s">
        <v>63</v>
      </c>
      <c r="B13" s="5">
        <v>46103</v>
      </c>
      <c r="C13" s="4" t="s">
        <v>37</v>
      </c>
      <c r="D13" s="4" t="s">
        <v>33</v>
      </c>
      <c r="E13" s="4" t="s">
        <v>34</v>
      </c>
      <c r="F13" s="6">
        <v>27558.91</v>
      </c>
      <c r="G13" s="4" t="s">
        <v>64</v>
      </c>
      <c r="H13" s="4" t="s">
        <v>31</v>
      </c>
      <c r="I13" s="4"/>
      <c r="J13" s="4"/>
      <c r="K13" s="4"/>
    </row>
    <row r="14" spans="1:11">
      <c r="A14" s="4" t="s">
        <v>65</v>
      </c>
      <c r="B14" s="5">
        <v>46137</v>
      </c>
      <c r="C14" s="4" t="s">
        <v>37</v>
      </c>
      <c r="D14" s="4" t="s">
        <v>41</v>
      </c>
      <c r="E14" s="4" t="s">
        <v>38</v>
      </c>
      <c r="F14" s="6">
        <v>-31954.26</v>
      </c>
      <c r="G14" s="4" t="s">
        <v>66</v>
      </c>
      <c r="H14" s="4" t="s">
        <v>31</v>
      </c>
      <c r="I14" s="4"/>
      <c r="J14" s="4"/>
      <c r="K14" s="4"/>
    </row>
    <row r="15" spans="1:11">
      <c r="A15" s="4" t="s">
        <v>67</v>
      </c>
      <c r="B15" s="5">
        <v>46145</v>
      </c>
      <c r="C15" s="4" t="s">
        <v>47</v>
      </c>
      <c r="D15" s="4" t="s">
        <v>33</v>
      </c>
      <c r="E15" s="4" t="s">
        <v>58</v>
      </c>
      <c r="F15" s="6">
        <v>-62159.68</v>
      </c>
      <c r="G15" s="4" t="s">
        <v>68</v>
      </c>
      <c r="H15" s="4" t="s">
        <v>39</v>
      </c>
      <c r="I15" s="4"/>
      <c r="J15" s="4"/>
      <c r="K15" s="4"/>
    </row>
    <row r="16" spans="1:11">
      <c r="A16" s="4" t="s">
        <v>69</v>
      </c>
      <c r="B16" s="5">
        <v>46056</v>
      </c>
      <c r="C16" s="4" t="s">
        <v>61</v>
      </c>
      <c r="D16" s="4" t="s">
        <v>41</v>
      </c>
      <c r="E16" s="4" t="s">
        <v>29</v>
      </c>
      <c r="F16" s="6">
        <v>-43991.35</v>
      </c>
      <c r="G16" s="4" t="s">
        <v>56</v>
      </c>
      <c r="H16" s="4" t="s">
        <v>39</v>
      </c>
      <c r="I16" s="4"/>
      <c r="J16" s="4"/>
      <c r="K16" s="4"/>
    </row>
    <row r="17" spans="1:11">
      <c r="A17" s="4" t="s">
        <v>70</v>
      </c>
      <c r="B17" s="5">
        <v>46174</v>
      </c>
      <c r="C17" s="4" t="s">
        <v>47</v>
      </c>
      <c r="D17" s="4" t="s">
        <v>28</v>
      </c>
      <c r="E17" s="4" t="s">
        <v>58</v>
      </c>
      <c r="F17" s="6">
        <v>-12532.78</v>
      </c>
      <c r="G17" s="4" t="s">
        <v>71</v>
      </c>
      <c r="H17" s="4" t="s">
        <v>39</v>
      </c>
      <c r="I17" s="4"/>
      <c r="J17" s="4"/>
      <c r="K17" s="4"/>
    </row>
    <row r="18" spans="1:11">
      <c r="A18" s="4" t="s">
        <v>72</v>
      </c>
      <c r="B18" s="5">
        <v>46188</v>
      </c>
      <c r="C18" s="4" t="s">
        <v>47</v>
      </c>
      <c r="D18" s="4" t="s">
        <v>33</v>
      </c>
      <c r="E18" s="4" t="s">
        <v>55</v>
      </c>
      <c r="F18" s="6">
        <v>-36677.58</v>
      </c>
      <c r="G18" s="4" t="s">
        <v>73</v>
      </c>
      <c r="H18" s="4" t="s">
        <v>31</v>
      </c>
      <c r="I18" s="4"/>
      <c r="J18" s="4"/>
      <c r="K18" s="4"/>
    </row>
    <row r="19" spans="1:11">
      <c r="A19" s="4" t="s">
        <v>74</v>
      </c>
      <c r="B19" s="4" t="s">
        <v>75</v>
      </c>
      <c r="C19" s="4" t="s">
        <v>37</v>
      </c>
      <c r="D19" s="4" t="s">
        <v>41</v>
      </c>
      <c r="E19" s="4" t="s">
        <v>58</v>
      </c>
      <c r="F19" s="6">
        <v>-32708.31</v>
      </c>
      <c r="G19" s="4" t="s">
        <v>76</v>
      </c>
      <c r="H19" s="4" t="s">
        <v>31</v>
      </c>
      <c r="I19" s="4"/>
      <c r="J19" s="4"/>
      <c r="K19" s="4"/>
    </row>
    <row r="20" spans="1:11">
      <c r="A20" s="4" t="s">
        <v>77</v>
      </c>
      <c r="B20" s="5">
        <v>46181</v>
      </c>
      <c r="C20" s="4" t="s">
        <v>47</v>
      </c>
      <c r="D20" s="4" t="s">
        <v>41</v>
      </c>
      <c r="E20" s="4" t="s">
        <v>34</v>
      </c>
      <c r="F20" s="6">
        <v>22350.74</v>
      </c>
      <c r="G20" s="4" t="s">
        <v>78</v>
      </c>
      <c r="H20" s="4" t="s">
        <v>31</v>
      </c>
      <c r="I20" s="4"/>
      <c r="J20" s="4"/>
      <c r="K20" s="4"/>
    </row>
    <row r="21" spans="1:11">
      <c r="A21" s="4" t="s">
        <v>79</v>
      </c>
      <c r="B21" s="5">
        <v>46203</v>
      </c>
      <c r="C21" s="4" t="s">
        <v>37</v>
      </c>
      <c r="D21" s="4" t="s">
        <v>28</v>
      </c>
      <c r="E21" s="4" t="s">
        <v>58</v>
      </c>
      <c r="F21" s="6">
        <v>-64509.68</v>
      </c>
      <c r="G21" s="4" t="s">
        <v>80</v>
      </c>
      <c r="H21" s="4" t="s">
        <v>31</v>
      </c>
      <c r="I21" s="4"/>
      <c r="J21" s="4"/>
      <c r="K21" s="4"/>
    </row>
    <row r="22" spans="1:11">
      <c r="A22" s="4" t="s">
        <v>81</v>
      </c>
      <c r="B22" s="5">
        <v>46091</v>
      </c>
      <c r="C22" s="4" t="s">
        <v>61</v>
      </c>
      <c r="D22" s="4" t="s">
        <v>33</v>
      </c>
      <c r="E22" s="4" t="s">
        <v>55</v>
      </c>
      <c r="F22" s="6">
        <v>-36084.55</v>
      </c>
      <c r="G22" s="4" t="s">
        <v>82</v>
      </c>
      <c r="H22" s="4" t="s">
        <v>31</v>
      </c>
      <c r="I22" s="4"/>
      <c r="J22" s="4"/>
      <c r="K22" s="4"/>
    </row>
    <row r="23" spans="1:11">
      <c r="A23" s="4" t="s">
        <v>83</v>
      </c>
      <c r="B23" s="5">
        <v>46163</v>
      </c>
      <c r="C23" s="4" t="s">
        <v>47</v>
      </c>
      <c r="D23" s="4" t="s">
        <v>41</v>
      </c>
      <c r="E23" s="4" t="s">
        <v>55</v>
      </c>
      <c r="F23" s="6">
        <v>-29857.09</v>
      </c>
      <c r="G23" s="4" t="s">
        <v>71</v>
      </c>
      <c r="H23" s="4" t="s">
        <v>31</v>
      </c>
      <c r="I23" s="4"/>
      <c r="J23" s="4"/>
      <c r="K23" s="4"/>
    </row>
    <row r="24" spans="1:11">
      <c r="A24" s="4" t="s">
        <v>84</v>
      </c>
      <c r="B24" s="5">
        <v>46197</v>
      </c>
      <c r="C24" s="4" t="s">
        <v>37</v>
      </c>
      <c r="D24" s="4" t="s">
        <v>28</v>
      </c>
      <c r="E24" s="4" t="s">
        <v>29</v>
      </c>
      <c r="F24" s="6">
        <v>-51048.61</v>
      </c>
      <c r="G24" s="4" t="s">
        <v>85</v>
      </c>
      <c r="H24" s="4" t="s">
        <v>31</v>
      </c>
      <c r="I24" s="4"/>
      <c r="J24" s="4"/>
      <c r="K24" s="4"/>
    </row>
    <row r="25" spans="1:11">
      <c r="A25" s="4" t="s">
        <v>86</v>
      </c>
      <c r="B25" s="5">
        <v>46100</v>
      </c>
      <c r="C25" s="4" t="s">
        <v>47</v>
      </c>
      <c r="D25" s="4" t="s">
        <v>41</v>
      </c>
      <c r="E25" s="4" t="s">
        <v>29</v>
      </c>
      <c r="F25" s="6">
        <v>-11721.6</v>
      </c>
      <c r="G25" s="4" t="s">
        <v>76</v>
      </c>
      <c r="H25" s="4" t="s">
        <v>31</v>
      </c>
      <c r="I25" s="4"/>
      <c r="J25" s="4"/>
      <c r="K25" s="4"/>
    </row>
    <row r="26" spans="1:11">
      <c r="A26" s="4" t="s">
        <v>87</v>
      </c>
      <c r="B26" s="5">
        <v>46126</v>
      </c>
      <c r="C26" s="4" t="s">
        <v>27</v>
      </c>
      <c r="D26" s="4" t="s">
        <v>28</v>
      </c>
      <c r="E26" s="4" t="s">
        <v>34</v>
      </c>
      <c r="F26" s="6">
        <v>35598.15</v>
      </c>
      <c r="G26" s="4" t="s">
        <v>88</v>
      </c>
      <c r="H26" s="4" t="s">
        <v>31</v>
      </c>
      <c r="I26" s="4"/>
      <c r="J26" s="4"/>
      <c r="K26" s="4"/>
    </row>
    <row r="27" spans="1:11">
      <c r="A27" s="4" t="s">
        <v>89</v>
      </c>
      <c r="B27" s="5">
        <v>46139</v>
      </c>
      <c r="C27" s="4" t="s">
        <v>47</v>
      </c>
      <c r="D27" s="4" t="s">
        <v>28</v>
      </c>
      <c r="E27" s="4" t="s">
        <v>38</v>
      </c>
      <c r="F27" s="6">
        <v>-19956.24</v>
      </c>
      <c r="G27" s="4" t="s">
        <v>80</v>
      </c>
      <c r="H27" s="4" t="s">
        <v>31</v>
      </c>
      <c r="I27" s="4"/>
      <c r="J27" s="4"/>
      <c r="K27" s="4"/>
    </row>
    <row r="28" spans="1:11">
      <c r="A28" s="4" t="s">
        <v>90</v>
      </c>
      <c r="B28" s="5">
        <v>46145</v>
      </c>
      <c r="C28" s="4" t="s">
        <v>61</v>
      </c>
      <c r="D28" s="4" t="s">
        <v>33</v>
      </c>
      <c r="E28" s="4" t="s">
        <v>55</v>
      </c>
      <c r="F28" s="6">
        <v>-13221.99</v>
      </c>
      <c r="G28" s="4" t="s">
        <v>91</v>
      </c>
      <c r="H28" s="4" t="s">
        <v>31</v>
      </c>
      <c r="I28" s="4"/>
      <c r="J28" s="4"/>
      <c r="K28" s="4"/>
    </row>
    <row r="29" spans="1:11">
      <c r="A29" s="4" t="s">
        <v>92</v>
      </c>
      <c r="B29" s="5">
        <v>46053</v>
      </c>
      <c r="C29" s="4" t="s">
        <v>47</v>
      </c>
      <c r="D29" s="4" t="s">
        <v>28</v>
      </c>
      <c r="E29" s="4" t="s">
        <v>44</v>
      </c>
      <c r="F29" s="6">
        <v>18890.38</v>
      </c>
      <c r="G29" s="4" t="s">
        <v>93</v>
      </c>
      <c r="H29" s="4" t="s">
        <v>39</v>
      </c>
      <c r="I29" s="4"/>
      <c r="J29" s="4"/>
      <c r="K29" s="4"/>
    </row>
    <row r="30" spans="1:11">
      <c r="A30" s="4" t="s">
        <v>94</v>
      </c>
      <c r="B30" s="5">
        <v>46107</v>
      </c>
      <c r="C30" s="4" t="s">
        <v>47</v>
      </c>
      <c r="D30" s="4" t="s">
        <v>33</v>
      </c>
      <c r="E30" s="4" t="s">
        <v>38</v>
      </c>
      <c r="F30" s="6">
        <v>-26961.31</v>
      </c>
      <c r="G30" s="4" t="s">
        <v>95</v>
      </c>
      <c r="H30" s="4" t="s">
        <v>31</v>
      </c>
      <c r="I30" s="4"/>
      <c r="J30" s="4"/>
      <c r="K30" s="4"/>
    </row>
    <row r="31" spans="1:11">
      <c r="A31" s="4" t="s">
        <v>96</v>
      </c>
      <c r="B31" s="5">
        <v>46142</v>
      </c>
      <c r="C31" s="4" t="s">
        <v>27</v>
      </c>
      <c r="D31" s="4" t="s">
        <v>41</v>
      </c>
      <c r="E31" s="4" t="s">
        <v>55</v>
      </c>
      <c r="F31" s="6">
        <v>-33657.9</v>
      </c>
      <c r="G31" s="4" t="s">
        <v>97</v>
      </c>
      <c r="H31" s="4" t="s">
        <v>31</v>
      </c>
      <c r="I31" s="4"/>
      <c r="J31" s="4"/>
      <c r="K31" s="4"/>
    </row>
    <row r="32" spans="1:11">
      <c r="A32" s="4" t="s">
        <v>98</v>
      </c>
      <c r="B32" s="5">
        <v>46156</v>
      </c>
      <c r="C32" s="4" t="s">
        <v>27</v>
      </c>
      <c r="D32" s="4" t="s">
        <v>33</v>
      </c>
      <c r="E32" s="4" t="s">
        <v>29</v>
      </c>
      <c r="F32" s="6">
        <v>-54583.52</v>
      </c>
      <c r="G32" s="4" t="s">
        <v>73</v>
      </c>
      <c r="H32" s="4" t="s">
        <v>39</v>
      </c>
      <c r="I32" s="4"/>
      <c r="J32" s="4"/>
      <c r="K32" s="4"/>
    </row>
    <row r="33" spans="1:11">
      <c r="A33" s="4" t="s">
        <v>98</v>
      </c>
      <c r="B33" s="5">
        <v>46046</v>
      </c>
      <c r="C33" s="4" t="s">
        <v>47</v>
      </c>
      <c r="D33" s="4" t="s">
        <v>33</v>
      </c>
      <c r="E33" s="4" t="s">
        <v>38</v>
      </c>
      <c r="F33" s="6">
        <v>-27069.27</v>
      </c>
      <c r="G33" s="4" t="s">
        <v>82</v>
      </c>
      <c r="H33" s="4" t="s">
        <v>31</v>
      </c>
      <c r="I33" s="4"/>
      <c r="J33" s="4"/>
      <c r="K33" s="4"/>
    </row>
    <row r="34" spans="1:11">
      <c r="A34" s="4" t="s">
        <v>99</v>
      </c>
      <c r="B34" s="5">
        <v>46187</v>
      </c>
      <c r="C34" s="4" t="s">
        <v>27</v>
      </c>
      <c r="D34" s="4" t="s">
        <v>33</v>
      </c>
      <c r="E34" s="4" t="s">
        <v>58</v>
      </c>
      <c r="F34" s="6">
        <v>-51229.91</v>
      </c>
      <c r="G34" s="4" t="s">
        <v>100</v>
      </c>
      <c r="H34" s="4" t="s">
        <v>31</v>
      </c>
      <c r="I34" s="4"/>
      <c r="J34" s="4"/>
      <c r="K34" s="4"/>
    </row>
    <row r="35" spans="1:11">
      <c r="A35" s="4" t="s">
        <v>101</v>
      </c>
      <c r="B35" s="5">
        <v>46178</v>
      </c>
      <c r="C35" s="4" t="s">
        <v>47</v>
      </c>
      <c r="D35" s="4" t="s">
        <v>50</v>
      </c>
      <c r="E35" s="4" t="s">
        <v>55</v>
      </c>
      <c r="F35" s="6">
        <v>-28978.5</v>
      </c>
      <c r="G35" s="4" t="s">
        <v>102</v>
      </c>
      <c r="H35" s="4" t="s">
        <v>31</v>
      </c>
      <c r="I35" s="4"/>
      <c r="J35" s="4"/>
      <c r="K35" s="4"/>
    </row>
    <row r="36" spans="1:11">
      <c r="A36" s="4" t="s">
        <v>103</v>
      </c>
      <c r="B36" s="5">
        <v>46203</v>
      </c>
      <c r="C36" s="4" t="s">
        <v>27</v>
      </c>
      <c r="D36" s="4" t="s">
        <v>41</v>
      </c>
      <c r="E36" s="4" t="s">
        <v>29</v>
      </c>
      <c r="F36" s="6">
        <v>-46682.91</v>
      </c>
      <c r="G36" s="4" t="s">
        <v>104</v>
      </c>
      <c r="H36" s="4" t="s">
        <v>31</v>
      </c>
      <c r="I36" s="4"/>
      <c r="J36" s="4"/>
      <c r="K36" s="4"/>
    </row>
    <row r="37" spans="1:11">
      <c r="A37" s="4" t="s">
        <v>105</v>
      </c>
      <c r="B37" s="5">
        <v>46063</v>
      </c>
      <c r="C37" s="4" t="s">
        <v>37</v>
      </c>
      <c r="D37" s="4" t="s">
        <v>33</v>
      </c>
      <c r="E37" s="4" t="s">
        <v>55</v>
      </c>
      <c r="F37" s="6">
        <v>-48656.93</v>
      </c>
      <c r="G37" s="4" t="s">
        <v>106</v>
      </c>
      <c r="H37" s="4" t="s">
        <v>31</v>
      </c>
      <c r="I37" s="4"/>
      <c r="J37" s="4"/>
      <c r="K37" s="4"/>
    </row>
    <row r="38" spans="1:11">
      <c r="A38" s="4" t="s">
        <v>107</v>
      </c>
      <c r="B38" s="5">
        <v>46121</v>
      </c>
      <c r="C38" s="4" t="s">
        <v>47</v>
      </c>
      <c r="D38" s="4" t="s">
        <v>41</v>
      </c>
      <c r="E38" s="4" t="s">
        <v>29</v>
      </c>
      <c r="F38" s="6">
        <v>-54874.57</v>
      </c>
      <c r="G38" s="4" t="s">
        <v>91</v>
      </c>
      <c r="H38" s="4" t="s">
        <v>31</v>
      </c>
      <c r="I38" s="4"/>
      <c r="J38" s="4"/>
      <c r="K38" s="4"/>
    </row>
    <row r="39" spans="1:11">
      <c r="A39" s="4" t="s">
        <v>108</v>
      </c>
      <c r="B39" s="5">
        <v>46195</v>
      </c>
      <c r="C39" s="4" t="s">
        <v>47</v>
      </c>
      <c r="D39" s="4" t="s">
        <v>33</v>
      </c>
      <c r="E39" s="4" t="s">
        <v>34</v>
      </c>
      <c r="F39" s="6">
        <v>57531.53</v>
      </c>
      <c r="G39" s="4" t="s">
        <v>88</v>
      </c>
      <c r="H39" s="4" t="s">
        <v>31</v>
      </c>
      <c r="I39" s="4"/>
      <c r="J39" s="4"/>
      <c r="K39" s="4"/>
    </row>
    <row r="40" spans="1:11">
      <c r="A40" s="4" t="s">
        <v>109</v>
      </c>
      <c r="B40" s="5">
        <v>46197</v>
      </c>
      <c r="C40" s="4" t="s">
        <v>27</v>
      </c>
      <c r="D40" s="4" t="s">
        <v>50</v>
      </c>
      <c r="E40" s="4" t="s">
        <v>29</v>
      </c>
      <c r="F40" s="6">
        <v>-62056.51</v>
      </c>
      <c r="G40" s="4" t="s">
        <v>110</v>
      </c>
      <c r="H40" s="4" t="s">
        <v>31</v>
      </c>
      <c r="I40" s="4"/>
      <c r="J40" s="4"/>
      <c r="K40" s="4"/>
    </row>
    <row r="41" spans="1:11">
      <c r="A41" s="4" t="s">
        <v>111</v>
      </c>
      <c r="B41" s="5">
        <v>46137</v>
      </c>
      <c r="C41" s="4" t="s">
        <v>37</v>
      </c>
      <c r="D41" s="4" t="s">
        <v>41</v>
      </c>
      <c r="E41" s="4" t="s">
        <v>58</v>
      </c>
      <c r="F41" s="6">
        <v>-20900.28</v>
      </c>
      <c r="G41" s="4" t="s">
        <v>51</v>
      </c>
      <c r="H41" s="4" t="s">
        <v>31</v>
      </c>
      <c r="I41" s="4"/>
      <c r="J41" s="4"/>
      <c r="K41" s="4"/>
    </row>
    <row r="42" spans="1:11">
      <c r="A42" s="4" t="s">
        <v>112</v>
      </c>
      <c r="B42" s="5">
        <v>46106</v>
      </c>
      <c r="C42" s="4" t="s">
        <v>47</v>
      </c>
      <c r="D42" s="4" t="s">
        <v>50</v>
      </c>
      <c r="E42" s="4" t="s">
        <v>55</v>
      </c>
      <c r="F42" s="6">
        <v>-50325.9</v>
      </c>
      <c r="G42" s="4" t="s">
        <v>113</v>
      </c>
      <c r="H42" s="4" t="s">
        <v>31</v>
      </c>
      <c r="I42" s="4"/>
      <c r="J42" s="4"/>
      <c r="K42" s="4"/>
    </row>
    <row r="43" spans="1:11">
      <c r="A43" s="4" t="s">
        <v>114</v>
      </c>
      <c r="B43" s="5">
        <v>46189</v>
      </c>
      <c r="C43" s="4" t="s">
        <v>27</v>
      </c>
      <c r="D43" s="4" t="s">
        <v>50</v>
      </c>
      <c r="E43" s="4" t="s">
        <v>34</v>
      </c>
      <c r="F43" s="6">
        <v>57613.55</v>
      </c>
      <c r="G43" s="4" t="s">
        <v>115</v>
      </c>
      <c r="H43" s="4" t="s">
        <v>31</v>
      </c>
      <c r="I43" s="4"/>
      <c r="J43" s="4"/>
      <c r="K43" s="4"/>
    </row>
    <row r="44" spans="1:11">
      <c r="A44" s="4" t="s">
        <v>116</v>
      </c>
      <c r="B44" s="5">
        <v>46083</v>
      </c>
      <c r="C44" s="4" t="s">
        <v>61</v>
      </c>
      <c r="D44" s="4" t="s">
        <v>41</v>
      </c>
      <c r="E44" s="4" t="s">
        <v>44</v>
      </c>
      <c r="F44" s="6">
        <v>63221.59</v>
      </c>
      <c r="G44" s="4" t="s">
        <v>117</v>
      </c>
      <c r="H44" s="4" t="s">
        <v>31</v>
      </c>
      <c r="I44" s="4"/>
      <c r="J44" s="4"/>
      <c r="K44" s="4"/>
    </row>
    <row r="45" spans="1:11">
      <c r="A45" s="4" t="s">
        <v>118</v>
      </c>
      <c r="B45" s="5">
        <v>46163</v>
      </c>
      <c r="C45" s="4" t="s">
        <v>61</v>
      </c>
      <c r="D45" s="4" t="s">
        <v>41</v>
      </c>
      <c r="E45" s="4" t="s">
        <v>29</v>
      </c>
      <c r="F45" s="6">
        <v>-46572.34</v>
      </c>
      <c r="G45" s="4" t="s">
        <v>119</v>
      </c>
      <c r="H45" s="4" t="s">
        <v>31</v>
      </c>
      <c r="I45" s="4"/>
      <c r="J45" s="4"/>
      <c r="K45" s="4"/>
    </row>
    <row r="46" spans="1:11">
      <c r="A46" s="4" t="s">
        <v>120</v>
      </c>
      <c r="B46" s="5">
        <v>46149</v>
      </c>
      <c r="C46" s="4" t="s">
        <v>37</v>
      </c>
      <c r="D46" s="4" t="s">
        <v>50</v>
      </c>
      <c r="E46" s="4"/>
      <c r="F46" s="6">
        <v>-51446.28</v>
      </c>
      <c r="G46" s="4" t="s">
        <v>121</v>
      </c>
      <c r="H46" s="4" t="s">
        <v>31</v>
      </c>
      <c r="I46" s="4"/>
      <c r="J46" s="4"/>
      <c r="K46" s="4"/>
    </row>
    <row r="47" spans="1:11">
      <c r="A47" s="4" t="s">
        <v>122</v>
      </c>
      <c r="B47" s="5">
        <v>46031</v>
      </c>
      <c r="C47" s="4" t="s">
        <v>27</v>
      </c>
      <c r="D47" s="4" t="s">
        <v>33</v>
      </c>
      <c r="E47" s="4" t="s">
        <v>58</v>
      </c>
      <c r="F47" s="6">
        <v>-22308.75</v>
      </c>
      <c r="G47" s="4" t="s">
        <v>119</v>
      </c>
      <c r="H47" s="4" t="s">
        <v>31</v>
      </c>
      <c r="I47" s="4"/>
      <c r="J47" s="4"/>
      <c r="K47" s="4"/>
    </row>
    <row r="48" spans="1:11">
      <c r="A48" s="4" t="s">
        <v>123</v>
      </c>
      <c r="B48" s="5">
        <v>46046</v>
      </c>
      <c r="C48" s="4" t="s">
        <v>27</v>
      </c>
      <c r="D48" s="4" t="s">
        <v>33</v>
      </c>
      <c r="E48" s="4" t="s">
        <v>58</v>
      </c>
      <c r="F48" s="6">
        <v>-62371.66</v>
      </c>
      <c r="G48" s="4" t="s">
        <v>66</v>
      </c>
      <c r="H48" s="4" t="s">
        <v>31</v>
      </c>
      <c r="I48" s="4"/>
      <c r="J48" s="4"/>
      <c r="K48" s="4"/>
    </row>
    <row r="49" spans="1:11">
      <c r="A49" s="4" t="s">
        <v>124</v>
      </c>
      <c r="B49" s="5">
        <v>46041</v>
      </c>
      <c r="C49" s="4" t="s">
        <v>61</v>
      </c>
      <c r="D49" s="4" t="s">
        <v>33</v>
      </c>
      <c r="E49" s="4" t="s">
        <v>29</v>
      </c>
      <c r="F49" s="6">
        <v>-53889.34</v>
      </c>
      <c r="G49" s="4" t="s">
        <v>125</v>
      </c>
      <c r="H49" s="4" t="s">
        <v>31</v>
      </c>
      <c r="I49" s="4"/>
      <c r="J49" s="4"/>
      <c r="K49" s="4"/>
    </row>
    <row r="50" spans="1:11">
      <c r="A50" s="4" t="s">
        <v>126</v>
      </c>
      <c r="B50" s="5">
        <v>46193</v>
      </c>
      <c r="C50" s="4" t="s">
        <v>47</v>
      </c>
      <c r="D50" s="4" t="s">
        <v>50</v>
      </c>
      <c r="E50" s="4" t="s">
        <v>58</v>
      </c>
      <c r="F50" s="6">
        <v>-24067.03</v>
      </c>
      <c r="G50" s="4" t="s">
        <v>76</v>
      </c>
      <c r="H50" s="4" t="s">
        <v>31</v>
      </c>
      <c r="I50" s="4"/>
      <c r="J50" s="4"/>
      <c r="K50" s="4"/>
    </row>
    <row r="51" spans="1:11">
      <c r="A51" s="4" t="s">
        <v>127</v>
      </c>
      <c r="B51" s="5">
        <v>46056</v>
      </c>
      <c r="C51" s="4" t="s">
        <v>61</v>
      </c>
      <c r="D51" s="4" t="s">
        <v>28</v>
      </c>
      <c r="E51" s="4" t="s">
        <v>34</v>
      </c>
      <c r="F51" s="6">
        <v>23847.88</v>
      </c>
      <c r="G51" s="4" t="s">
        <v>128</v>
      </c>
      <c r="H51" s="4" t="s">
        <v>31</v>
      </c>
      <c r="I51" s="4"/>
      <c r="J51" s="4"/>
      <c r="K51" s="4"/>
    </row>
    <row r="52" spans="1:11">
      <c r="A52" s="4" t="s">
        <v>129</v>
      </c>
      <c r="B52" s="5">
        <v>46182</v>
      </c>
      <c r="C52" s="4" t="s">
        <v>27</v>
      </c>
      <c r="D52" s="4" t="s">
        <v>50</v>
      </c>
      <c r="E52" s="4" t="s">
        <v>44</v>
      </c>
      <c r="F52" s="6">
        <v>23702.73</v>
      </c>
      <c r="G52" s="4" t="s">
        <v>130</v>
      </c>
      <c r="H52" s="4" t="s">
        <v>31</v>
      </c>
      <c r="I52" s="4"/>
      <c r="J52" s="4"/>
      <c r="K52" s="4"/>
    </row>
    <row r="53" spans="1:11">
      <c r="A53" s="4" t="s">
        <v>131</v>
      </c>
      <c r="B53" s="5">
        <v>46061</v>
      </c>
      <c r="C53" s="4" t="s">
        <v>37</v>
      </c>
      <c r="D53" s="4" t="s">
        <v>50</v>
      </c>
      <c r="E53" s="4" t="s">
        <v>29</v>
      </c>
      <c r="F53" s="6">
        <v>-44765.83</v>
      </c>
      <c r="G53" s="4" t="s">
        <v>119</v>
      </c>
      <c r="H53" s="4" t="s">
        <v>31</v>
      </c>
      <c r="I53" s="4"/>
      <c r="J53" s="4"/>
      <c r="K53" s="4"/>
    </row>
    <row r="54" spans="1:11">
      <c r="A54" s="4" t="s">
        <v>132</v>
      </c>
      <c r="B54" s="5">
        <v>46087</v>
      </c>
      <c r="C54" s="4" t="s">
        <v>27</v>
      </c>
      <c r="D54" s="4" t="s">
        <v>41</v>
      </c>
      <c r="E54" s="4" t="s">
        <v>34</v>
      </c>
      <c r="F54" s="6">
        <v>21980.06</v>
      </c>
      <c r="G54" s="4" t="s">
        <v>133</v>
      </c>
      <c r="H54" s="4" t="s">
        <v>39</v>
      </c>
      <c r="I54" s="4"/>
      <c r="J54" s="4"/>
      <c r="K54" s="4"/>
    </row>
    <row r="55" spans="1:11">
      <c r="A55" s="4" t="s">
        <v>134</v>
      </c>
      <c r="B55" s="5">
        <v>46064</v>
      </c>
      <c r="C55" s="4" t="s">
        <v>27</v>
      </c>
      <c r="D55" s="4" t="s">
        <v>41</v>
      </c>
      <c r="E55" s="4" t="s">
        <v>58</v>
      </c>
      <c r="F55" s="6">
        <v>-33417.21</v>
      </c>
      <c r="G55" s="4" t="s">
        <v>85</v>
      </c>
      <c r="H55" s="4" t="s">
        <v>39</v>
      </c>
      <c r="I55" s="4"/>
      <c r="J55" s="4"/>
      <c r="K55" s="4"/>
    </row>
    <row r="56" spans="1:11">
      <c r="A56" s="4" t="s">
        <v>135</v>
      </c>
      <c r="B56" s="5">
        <v>46078</v>
      </c>
      <c r="C56" s="4" t="s">
        <v>47</v>
      </c>
      <c r="D56" s="4" t="s">
        <v>50</v>
      </c>
      <c r="E56" s="4" t="s">
        <v>58</v>
      </c>
      <c r="F56" s="6">
        <v>-56067.37</v>
      </c>
      <c r="G56" s="4" t="s">
        <v>136</v>
      </c>
      <c r="H56" s="4" t="s">
        <v>31</v>
      </c>
      <c r="I56" s="4"/>
      <c r="J56" s="4"/>
      <c r="K56" s="4"/>
    </row>
    <row r="57" spans="1:11">
      <c r="A57" s="4" t="s">
        <v>137</v>
      </c>
      <c r="B57" s="5">
        <v>46040</v>
      </c>
      <c r="C57" s="4" t="s">
        <v>37</v>
      </c>
      <c r="D57" s="4" t="s">
        <v>33</v>
      </c>
      <c r="E57" s="4" t="s">
        <v>34</v>
      </c>
      <c r="F57" s="6">
        <v>11159.77</v>
      </c>
      <c r="G57" s="4" t="s">
        <v>138</v>
      </c>
      <c r="H57" s="4" t="s">
        <v>31</v>
      </c>
      <c r="I57" s="4"/>
      <c r="J57" s="4"/>
      <c r="K57" s="4"/>
    </row>
    <row r="58" spans="1:11">
      <c r="A58" s="4" t="s">
        <v>139</v>
      </c>
      <c r="B58" s="5">
        <v>46161</v>
      </c>
      <c r="C58" s="4" t="s">
        <v>61</v>
      </c>
      <c r="D58" s="4" t="s">
        <v>33</v>
      </c>
      <c r="E58" s="4" t="s">
        <v>58</v>
      </c>
      <c r="F58" s="6">
        <v>-40448.71</v>
      </c>
      <c r="G58" s="4" t="s">
        <v>121</v>
      </c>
      <c r="H58" s="4" t="s">
        <v>31</v>
      </c>
      <c r="I58" s="4"/>
      <c r="J58" s="4"/>
      <c r="K58" s="4"/>
    </row>
    <row r="59" spans="1:11">
      <c r="A59" s="4" t="s">
        <v>140</v>
      </c>
      <c r="B59" s="5">
        <v>46199</v>
      </c>
      <c r="C59" s="4" t="s">
        <v>61</v>
      </c>
      <c r="D59" s="4" t="s">
        <v>33</v>
      </c>
      <c r="E59" s="4" t="s">
        <v>29</v>
      </c>
      <c r="F59" s="6">
        <v>-53245.07</v>
      </c>
      <c r="G59" s="4" t="s">
        <v>100</v>
      </c>
      <c r="H59" s="4" t="s">
        <v>31</v>
      </c>
      <c r="I59" s="4"/>
      <c r="J59" s="4"/>
      <c r="K59" s="4"/>
    </row>
    <row r="60" spans="1:11">
      <c r="A60" s="4" t="s">
        <v>141</v>
      </c>
      <c r="B60" s="5">
        <v>46156</v>
      </c>
      <c r="C60" s="4" t="s">
        <v>37</v>
      </c>
      <c r="D60" s="4" t="s">
        <v>28</v>
      </c>
      <c r="E60" s="4" t="s">
        <v>38</v>
      </c>
      <c r="F60" s="6">
        <v>-61588.55</v>
      </c>
      <c r="G60" s="4" t="s">
        <v>142</v>
      </c>
      <c r="H60" s="4" t="s">
        <v>39</v>
      </c>
      <c r="I60" s="4"/>
      <c r="J60" s="4"/>
      <c r="K60" s="4"/>
    </row>
    <row r="61" spans="1:11">
      <c r="A61" s="4" t="s">
        <v>143</v>
      </c>
      <c r="B61" s="5">
        <v>46077</v>
      </c>
      <c r="C61" s="4" t="s">
        <v>47</v>
      </c>
      <c r="D61" s="4" t="s">
        <v>28</v>
      </c>
      <c r="E61" s="4" t="s">
        <v>38</v>
      </c>
      <c r="F61" s="6">
        <v>-63788.82</v>
      </c>
      <c r="G61" s="4" t="s">
        <v>91</v>
      </c>
      <c r="H61" s="4" t="s">
        <v>39</v>
      </c>
      <c r="I61" s="4"/>
      <c r="J61" s="4"/>
      <c r="K61" s="4"/>
    </row>
    <row r="62" spans="1:11">
      <c r="A62" s="4" t="s">
        <v>144</v>
      </c>
      <c r="B62" s="5">
        <v>46031</v>
      </c>
      <c r="C62" s="4" t="s">
        <v>47</v>
      </c>
      <c r="D62" s="4" t="s">
        <v>41</v>
      </c>
      <c r="E62" s="4" t="s">
        <v>44</v>
      </c>
      <c r="F62" s="6">
        <v>51828.23</v>
      </c>
      <c r="G62" s="4" t="s">
        <v>145</v>
      </c>
      <c r="H62" s="4" t="s">
        <v>31</v>
      </c>
      <c r="I62" s="4"/>
      <c r="J62" s="4"/>
      <c r="K62" s="4"/>
    </row>
    <row r="63" spans="1:11">
      <c r="A63" s="4" t="s">
        <v>146</v>
      </c>
      <c r="B63" s="5">
        <v>46117</v>
      </c>
      <c r="C63" s="4" t="s">
        <v>37</v>
      </c>
      <c r="D63" s="4" t="s">
        <v>41</v>
      </c>
      <c r="E63" s="4" t="s">
        <v>34</v>
      </c>
      <c r="F63" s="6">
        <v>37534.78</v>
      </c>
      <c r="G63" s="4" t="s">
        <v>147</v>
      </c>
      <c r="H63" s="4" t="s">
        <v>31</v>
      </c>
      <c r="I63" s="4"/>
      <c r="J63" s="4"/>
      <c r="K63" s="4"/>
    </row>
    <row r="64" spans="1:11">
      <c r="A64" s="4" t="s">
        <v>148</v>
      </c>
      <c r="B64" s="5">
        <v>46192</v>
      </c>
      <c r="C64" s="4" t="s">
        <v>61</v>
      </c>
      <c r="D64" s="4" t="s">
        <v>28</v>
      </c>
      <c r="E64" s="4" t="s">
        <v>34</v>
      </c>
      <c r="F64" s="6">
        <v>55868.12</v>
      </c>
      <c r="G64" s="4" t="s">
        <v>138</v>
      </c>
      <c r="H64" s="4" t="s">
        <v>31</v>
      </c>
      <c r="I64" s="4"/>
      <c r="J64" s="4"/>
      <c r="K64" s="4"/>
    </row>
    <row r="65" spans="1:11">
      <c r="A65" s="4" t="s">
        <v>149</v>
      </c>
      <c r="B65" s="5">
        <v>46178</v>
      </c>
      <c r="C65" s="4" t="s">
        <v>61</v>
      </c>
      <c r="D65" s="4" t="s">
        <v>33</v>
      </c>
      <c r="E65" s="4" t="s">
        <v>55</v>
      </c>
      <c r="F65" s="6">
        <v>-12839.94</v>
      </c>
      <c r="G65" s="4" t="s">
        <v>51</v>
      </c>
      <c r="H65" s="4" t="s">
        <v>31</v>
      </c>
      <c r="I65" s="4"/>
      <c r="J65" s="4"/>
      <c r="K65" s="4"/>
    </row>
    <row r="66" spans="1:11">
      <c r="A66" s="4" t="s">
        <v>150</v>
      </c>
      <c r="B66" s="5">
        <v>46143</v>
      </c>
      <c r="C66" s="4" t="s">
        <v>47</v>
      </c>
      <c r="D66" s="4" t="s">
        <v>28</v>
      </c>
      <c r="E66" s="4" t="s">
        <v>58</v>
      </c>
      <c r="F66" s="6">
        <v>-9216.15</v>
      </c>
      <c r="G66" s="4" t="s">
        <v>73</v>
      </c>
      <c r="H66" s="4" t="s">
        <v>31</v>
      </c>
      <c r="I66" s="4"/>
      <c r="J66" s="4"/>
      <c r="K66" s="4"/>
    </row>
    <row r="67" spans="1:11">
      <c r="A67" s="4" t="s">
        <v>151</v>
      </c>
      <c r="B67" s="5">
        <v>46159</v>
      </c>
      <c r="C67" s="4" t="s">
        <v>37</v>
      </c>
      <c r="D67" s="4" t="s">
        <v>28</v>
      </c>
      <c r="E67" s="4" t="s">
        <v>38</v>
      </c>
      <c r="F67" s="6">
        <v>-29167.57</v>
      </c>
      <c r="G67" s="4" t="s">
        <v>66</v>
      </c>
      <c r="H67" s="4" t="s">
        <v>31</v>
      </c>
      <c r="I67" s="4"/>
      <c r="J67" s="4"/>
      <c r="K67" s="4"/>
    </row>
    <row r="68" spans="1:11">
      <c r="A68" s="4" t="s">
        <v>152</v>
      </c>
      <c r="B68" s="5">
        <v>46064</v>
      </c>
      <c r="C68" s="4" t="s">
        <v>47</v>
      </c>
      <c r="D68" s="4" t="s">
        <v>50</v>
      </c>
      <c r="E68" s="4" t="s">
        <v>58</v>
      </c>
      <c r="F68" s="6">
        <v>-19164.6</v>
      </c>
      <c r="G68" s="4" t="s">
        <v>73</v>
      </c>
      <c r="H68" s="4" t="s">
        <v>39</v>
      </c>
      <c r="I68" s="4"/>
      <c r="J68" s="4"/>
      <c r="K68" s="4"/>
    </row>
    <row r="69" spans="1:11">
      <c r="A69" s="4" t="s">
        <v>153</v>
      </c>
      <c r="B69" s="5">
        <v>46071</v>
      </c>
      <c r="C69" s="4" t="s">
        <v>27</v>
      </c>
      <c r="D69" s="4" t="s">
        <v>33</v>
      </c>
      <c r="E69" s="4" t="s">
        <v>55</v>
      </c>
      <c r="F69" s="6">
        <v>-17836.36</v>
      </c>
      <c r="G69" s="4" t="s">
        <v>80</v>
      </c>
      <c r="H69" s="4" t="s">
        <v>31</v>
      </c>
      <c r="I69" s="4"/>
      <c r="J69" s="4"/>
      <c r="K69" s="4"/>
    </row>
    <row r="70" spans="1:11">
      <c r="A70" s="4" t="s">
        <v>154</v>
      </c>
      <c r="B70" s="5">
        <v>46124</v>
      </c>
      <c r="C70" s="4" t="s">
        <v>37</v>
      </c>
      <c r="D70" s="4" t="s">
        <v>41</v>
      </c>
      <c r="E70" s="4" t="s">
        <v>44</v>
      </c>
      <c r="F70" s="6">
        <v>28592.77</v>
      </c>
      <c r="G70" s="4" t="s">
        <v>45</v>
      </c>
      <c r="H70" s="4" t="s">
        <v>31</v>
      </c>
      <c r="I70" s="4"/>
      <c r="J70" s="4"/>
      <c r="K70" s="4"/>
    </row>
    <row r="71" spans="1:11">
      <c r="A71" s="4" t="s">
        <v>155</v>
      </c>
      <c r="B71" s="5">
        <v>46027</v>
      </c>
      <c r="C71" s="4" t="s">
        <v>61</v>
      </c>
      <c r="D71" s="4" t="s">
        <v>33</v>
      </c>
      <c r="E71" s="4" t="s">
        <v>55</v>
      </c>
      <c r="F71" s="6">
        <v>-49099.64</v>
      </c>
      <c r="G71" s="4" t="s">
        <v>136</v>
      </c>
      <c r="H71" s="4" t="s">
        <v>31</v>
      </c>
      <c r="I71" s="4"/>
      <c r="J71" s="4"/>
      <c r="K71" s="4"/>
    </row>
    <row r="72" spans="1:11">
      <c r="A72" s="4" t="s">
        <v>156</v>
      </c>
      <c r="B72" s="5">
        <v>46169</v>
      </c>
      <c r="C72" s="4" t="s">
        <v>37</v>
      </c>
      <c r="D72" s="4" t="s">
        <v>28</v>
      </c>
      <c r="E72" s="4" t="s">
        <v>55</v>
      </c>
      <c r="F72" s="6">
        <v>-10282.41</v>
      </c>
      <c r="G72" s="4" t="s">
        <v>76</v>
      </c>
      <c r="H72" s="4" t="s">
        <v>31</v>
      </c>
      <c r="I72" s="4"/>
      <c r="J72" s="4"/>
      <c r="K72" s="4"/>
    </row>
    <row r="73" spans="1:11">
      <c r="A73" s="4" t="s">
        <v>157</v>
      </c>
      <c r="B73" s="5">
        <v>46069</v>
      </c>
      <c r="C73" s="4" t="s">
        <v>47</v>
      </c>
      <c r="D73" s="4" t="s">
        <v>28</v>
      </c>
      <c r="E73" s="4" t="s">
        <v>34</v>
      </c>
      <c r="F73" s="6">
        <v>61681.06</v>
      </c>
      <c r="G73" s="4" t="s">
        <v>158</v>
      </c>
      <c r="H73" s="4" t="s">
        <v>31</v>
      </c>
      <c r="I73" s="4"/>
      <c r="J73" s="4"/>
      <c r="K73" s="4"/>
    </row>
    <row r="74" spans="1:11">
      <c r="A74" s="4" t="s">
        <v>159</v>
      </c>
      <c r="B74" s="5">
        <v>46175</v>
      </c>
      <c r="C74" s="4" t="s">
        <v>37</v>
      </c>
      <c r="D74" s="4" t="s">
        <v>33</v>
      </c>
      <c r="E74" s="4" t="s">
        <v>38</v>
      </c>
      <c r="F74" s="4" t="s">
        <v>160</v>
      </c>
      <c r="G74" s="4" t="s">
        <v>161</v>
      </c>
      <c r="H74" s="4" t="s">
        <v>31</v>
      </c>
      <c r="I74" s="4"/>
      <c r="J74" s="4"/>
      <c r="K74" s="4"/>
    </row>
    <row r="75" spans="1:11">
      <c r="A75" s="4" t="s">
        <v>162</v>
      </c>
      <c r="B75" s="5">
        <v>46174</v>
      </c>
      <c r="C75" s="4" t="s">
        <v>47</v>
      </c>
      <c r="D75" s="4" t="s">
        <v>41</v>
      </c>
      <c r="E75" s="4" t="s">
        <v>44</v>
      </c>
      <c r="F75" s="6">
        <v>63467.23</v>
      </c>
      <c r="G75" s="4" t="s">
        <v>45</v>
      </c>
      <c r="H75" s="4" t="s">
        <v>31</v>
      </c>
      <c r="I75" s="4"/>
      <c r="J75" s="4"/>
      <c r="K75" s="4"/>
    </row>
    <row r="76" spans="1:11">
      <c r="A76" s="4" t="s">
        <v>163</v>
      </c>
      <c r="B76" s="5">
        <v>46119</v>
      </c>
      <c r="C76" s="4" t="s">
        <v>37</v>
      </c>
      <c r="D76" s="4" t="s">
        <v>50</v>
      </c>
      <c r="E76" s="4" t="s">
        <v>55</v>
      </c>
      <c r="F76" s="6">
        <v>-51596.33</v>
      </c>
      <c r="G76" s="4" t="s">
        <v>164</v>
      </c>
      <c r="H76" s="4" t="s">
        <v>31</v>
      </c>
      <c r="I76" s="4"/>
      <c r="J76" s="4"/>
      <c r="K76" s="4"/>
    </row>
    <row r="77" spans="1:11">
      <c r="A77" s="4" t="s">
        <v>165</v>
      </c>
      <c r="B77" s="5">
        <v>46175</v>
      </c>
      <c r="C77" s="4" t="s">
        <v>47</v>
      </c>
      <c r="D77" s="4" t="s">
        <v>41</v>
      </c>
      <c r="E77" s="4" t="s">
        <v>44</v>
      </c>
      <c r="F77" s="6">
        <v>20788.3</v>
      </c>
      <c r="G77" s="4" t="s">
        <v>166</v>
      </c>
      <c r="H77" s="4" t="s">
        <v>31</v>
      </c>
      <c r="I77" s="4"/>
      <c r="J77" s="4"/>
      <c r="K77" s="4"/>
    </row>
    <row r="78" spans="1:11">
      <c r="A78" s="4" t="s">
        <v>167</v>
      </c>
      <c r="B78" s="5">
        <v>46109</v>
      </c>
      <c r="C78" s="4" t="s">
        <v>27</v>
      </c>
      <c r="D78" s="4" t="s">
        <v>41</v>
      </c>
      <c r="E78" s="4" t="s">
        <v>58</v>
      </c>
      <c r="F78" s="6">
        <v>-24694.7</v>
      </c>
      <c r="G78" s="4" t="s">
        <v>91</v>
      </c>
      <c r="H78" s="4" t="s">
        <v>31</v>
      </c>
      <c r="I78" s="4"/>
      <c r="J78" s="4"/>
      <c r="K78" s="4"/>
    </row>
    <row r="79" spans="1:11">
      <c r="A79" s="4" t="s">
        <v>168</v>
      </c>
      <c r="B79" s="5">
        <v>46073</v>
      </c>
      <c r="C79" s="4" t="s">
        <v>47</v>
      </c>
      <c r="D79" s="4" t="s">
        <v>41</v>
      </c>
      <c r="E79" s="4" t="s">
        <v>55</v>
      </c>
      <c r="F79" s="6">
        <v>-23057.38</v>
      </c>
      <c r="G79" s="4" t="s">
        <v>73</v>
      </c>
      <c r="H79" s="4" t="s">
        <v>39</v>
      </c>
      <c r="I79" s="4"/>
      <c r="J79" s="4"/>
      <c r="K79" s="4"/>
    </row>
    <row r="80" spans="1:11">
      <c r="A80" s="4" t="s">
        <v>169</v>
      </c>
      <c r="B80" s="5">
        <v>46075</v>
      </c>
      <c r="C80" s="4" t="s">
        <v>61</v>
      </c>
      <c r="D80" s="4" t="s">
        <v>41</v>
      </c>
      <c r="E80" s="4" t="s">
        <v>29</v>
      </c>
      <c r="F80" s="6">
        <v>-16461.84</v>
      </c>
      <c r="G80" s="4" t="s">
        <v>102</v>
      </c>
      <c r="H80" s="4" t="s">
        <v>31</v>
      </c>
      <c r="I80" s="4"/>
      <c r="J80" s="4"/>
      <c r="K80" s="4"/>
    </row>
    <row r="81" spans="1:11">
      <c r="A81" s="4" t="s">
        <v>170</v>
      </c>
      <c r="B81" s="5">
        <v>46042</v>
      </c>
      <c r="C81" s="4" t="s">
        <v>47</v>
      </c>
      <c r="D81" s="4" t="s">
        <v>33</v>
      </c>
      <c r="E81" s="4" t="s">
        <v>44</v>
      </c>
      <c r="F81" s="6">
        <v>8202.280000000001</v>
      </c>
      <c r="G81" s="4" t="s">
        <v>171</v>
      </c>
      <c r="H81" s="4" t="s">
        <v>39</v>
      </c>
      <c r="I81" s="4"/>
      <c r="J81" s="4"/>
      <c r="K81" s="4"/>
    </row>
    <row r="82" spans="1:11">
      <c r="A82" s="4" t="s">
        <v>172</v>
      </c>
      <c r="B82" s="5">
        <v>46123</v>
      </c>
      <c r="C82" s="4" t="s">
        <v>61</v>
      </c>
      <c r="D82" s="4" t="s">
        <v>33</v>
      </c>
      <c r="E82" s="4" t="s">
        <v>34</v>
      </c>
      <c r="F82" s="6">
        <v>18200</v>
      </c>
      <c r="G82" s="4" t="s">
        <v>173</v>
      </c>
      <c r="H82" s="4" t="s">
        <v>31</v>
      </c>
      <c r="I82" s="4"/>
      <c r="J82" s="4"/>
      <c r="K82" s="4"/>
    </row>
    <row r="83" spans="1:11">
      <c r="A83" s="4" t="s">
        <v>174</v>
      </c>
      <c r="B83" s="5">
        <v>46041</v>
      </c>
      <c r="C83" s="4" t="s">
        <v>27</v>
      </c>
      <c r="D83" s="4" t="s">
        <v>33</v>
      </c>
      <c r="E83" s="4" t="s">
        <v>34</v>
      </c>
      <c r="F83" s="6">
        <v>59134.37</v>
      </c>
      <c r="G83" s="4" t="s">
        <v>133</v>
      </c>
      <c r="H83" s="4" t="s">
        <v>31</v>
      </c>
      <c r="I83" s="4"/>
      <c r="J83" s="4"/>
      <c r="K83" s="4"/>
    </row>
    <row r="84" spans="1:11">
      <c r="A84" s="4" t="s">
        <v>175</v>
      </c>
      <c r="B84" s="5">
        <v>46151</v>
      </c>
      <c r="C84" s="4" t="s">
        <v>47</v>
      </c>
      <c r="D84" s="4" t="s">
        <v>28</v>
      </c>
      <c r="E84" s="4" t="s">
        <v>44</v>
      </c>
      <c r="F84" s="6">
        <v>24983.17</v>
      </c>
      <c r="G84" s="4" t="s">
        <v>130</v>
      </c>
      <c r="H84" s="4" t="s">
        <v>31</v>
      </c>
      <c r="I84" s="4"/>
      <c r="J84" s="4"/>
      <c r="K84" s="4"/>
    </row>
    <row r="85" spans="1:11">
      <c r="A85" s="4" t="s">
        <v>176</v>
      </c>
      <c r="B85" s="5">
        <v>46090</v>
      </c>
      <c r="C85" s="4" t="s">
        <v>61</v>
      </c>
      <c r="D85" s="4" t="s">
        <v>41</v>
      </c>
      <c r="E85" s="4" t="s">
        <v>55</v>
      </c>
      <c r="F85" s="6">
        <v>-41906.4</v>
      </c>
      <c r="G85" s="4" t="s">
        <v>177</v>
      </c>
      <c r="H85" s="4" t="s">
        <v>31</v>
      </c>
      <c r="I85" s="4"/>
      <c r="J85" s="4"/>
      <c r="K85" s="4"/>
    </row>
    <row r="86" spans="1:11">
      <c r="A86" s="4" t="s">
        <v>178</v>
      </c>
      <c r="B86" s="5">
        <v>46056</v>
      </c>
      <c r="C86" s="4" t="s">
        <v>47</v>
      </c>
      <c r="D86" s="4" t="s">
        <v>33</v>
      </c>
      <c r="E86" s="4" t="s">
        <v>58</v>
      </c>
      <c r="F86" s="6">
        <v>-62788.56</v>
      </c>
      <c r="G86" s="4" t="s">
        <v>179</v>
      </c>
      <c r="H86" s="4" t="s">
        <v>31</v>
      </c>
      <c r="I86" s="4"/>
      <c r="J86" s="4"/>
      <c r="K86" s="4"/>
    </row>
    <row r="87" spans="1:11">
      <c r="A87" s="4" t="s">
        <v>180</v>
      </c>
      <c r="B87" s="5">
        <v>46191</v>
      </c>
      <c r="C87" s="4" t="s">
        <v>27</v>
      </c>
      <c r="D87" s="4" t="s">
        <v>41</v>
      </c>
      <c r="E87" s="4" t="s">
        <v>34</v>
      </c>
      <c r="F87" s="6">
        <v>12749.24</v>
      </c>
      <c r="G87" s="4" t="s">
        <v>78</v>
      </c>
      <c r="H87" s="4" t="s">
        <v>31</v>
      </c>
      <c r="I87" s="4"/>
      <c r="J87" s="4"/>
      <c r="K87" s="4"/>
    </row>
    <row r="88" spans="1:11">
      <c r="A88" s="4" t="s">
        <v>181</v>
      </c>
      <c r="B88" s="5">
        <v>46098</v>
      </c>
      <c r="C88" s="4" t="s">
        <v>37</v>
      </c>
      <c r="D88" s="4" t="s">
        <v>50</v>
      </c>
      <c r="E88" s="4" t="s">
        <v>58</v>
      </c>
      <c r="F88" s="6">
        <v>-38518.18</v>
      </c>
      <c r="G88" s="4" t="s">
        <v>164</v>
      </c>
      <c r="H88" s="4" t="s">
        <v>31</v>
      </c>
      <c r="I88" s="4"/>
      <c r="J88" s="4"/>
      <c r="K88" s="4"/>
    </row>
    <row r="89" spans="1:11">
      <c r="A89" s="4" t="s">
        <v>182</v>
      </c>
      <c r="B89" s="5">
        <v>46169</v>
      </c>
      <c r="C89" s="4" t="s">
        <v>47</v>
      </c>
      <c r="D89" s="4" t="s">
        <v>41</v>
      </c>
      <c r="E89" s="4" t="s">
        <v>58</v>
      </c>
      <c r="F89" s="6">
        <v>-47656.8</v>
      </c>
      <c r="G89" s="4" t="s">
        <v>82</v>
      </c>
      <c r="H89" s="4" t="s">
        <v>31</v>
      </c>
      <c r="I89" s="4"/>
      <c r="J89" s="4"/>
      <c r="K89" s="4"/>
    </row>
    <row r="90" spans="1:11">
      <c r="A90" s="4" t="s">
        <v>183</v>
      </c>
      <c r="B90" s="5">
        <v>46118</v>
      </c>
      <c r="C90" s="4" t="s">
        <v>37</v>
      </c>
      <c r="D90" s="4" t="s">
        <v>41</v>
      </c>
      <c r="E90" s="4" t="s">
        <v>34</v>
      </c>
      <c r="F90" s="6">
        <v>64915.88</v>
      </c>
      <c r="G90" s="4" t="s">
        <v>158</v>
      </c>
      <c r="H90" s="4" t="s">
        <v>39</v>
      </c>
      <c r="I90" s="4"/>
      <c r="J90" s="4"/>
      <c r="K90" s="4"/>
    </row>
    <row r="91" spans="1:11">
      <c r="A91" s="4" t="s">
        <v>184</v>
      </c>
      <c r="B91" s="5">
        <v>46094</v>
      </c>
      <c r="C91" s="4" t="s">
        <v>61</v>
      </c>
      <c r="D91" s="4" t="s">
        <v>28</v>
      </c>
      <c r="E91" s="4" t="s">
        <v>29</v>
      </c>
      <c r="F91" s="6">
        <v>-34142.59</v>
      </c>
      <c r="G91" s="4" t="s">
        <v>30</v>
      </c>
      <c r="H91" s="4" t="s">
        <v>31</v>
      </c>
      <c r="I91" s="4"/>
      <c r="J91" s="4"/>
      <c r="K91" s="4"/>
    </row>
    <row r="92" spans="1:11">
      <c r="A92" s="4" t="s">
        <v>185</v>
      </c>
      <c r="B92" s="5">
        <v>46174</v>
      </c>
      <c r="C92" s="4" t="s">
        <v>37</v>
      </c>
      <c r="D92" s="4" t="s">
        <v>28</v>
      </c>
      <c r="E92" s="4" t="s">
        <v>44</v>
      </c>
      <c r="F92" s="6">
        <v>35640.06</v>
      </c>
      <c r="G92" s="4" t="s">
        <v>186</v>
      </c>
      <c r="H92" s="4" t="s">
        <v>31</v>
      </c>
      <c r="I92" s="4"/>
      <c r="J92" s="4"/>
      <c r="K92" s="4"/>
    </row>
    <row r="93" spans="1:11">
      <c r="A93" s="4" t="s">
        <v>187</v>
      </c>
      <c r="B93" s="5">
        <v>46134</v>
      </c>
      <c r="C93" s="4" t="s">
        <v>47</v>
      </c>
      <c r="D93" s="4" t="s">
        <v>28</v>
      </c>
      <c r="E93" s="4" t="s">
        <v>29</v>
      </c>
      <c r="F93" s="6">
        <v>-50207.63</v>
      </c>
      <c r="G93" s="4" t="s">
        <v>73</v>
      </c>
      <c r="H93" s="4" t="s">
        <v>31</v>
      </c>
      <c r="I93" s="4"/>
      <c r="J93" s="4"/>
      <c r="K93" s="4"/>
    </row>
    <row r="94" spans="1:11">
      <c r="A94" s="4" t="s">
        <v>188</v>
      </c>
      <c r="B94" s="5">
        <v>46167</v>
      </c>
      <c r="C94" s="4" t="s">
        <v>47</v>
      </c>
      <c r="D94" s="4" t="s">
        <v>28</v>
      </c>
      <c r="E94" s="4" t="s">
        <v>29</v>
      </c>
      <c r="F94" s="6">
        <v>-56996.88</v>
      </c>
      <c r="G94" s="4" t="s">
        <v>106</v>
      </c>
      <c r="H94" s="4" t="s">
        <v>31</v>
      </c>
      <c r="I94" s="4"/>
      <c r="J94" s="4"/>
      <c r="K94" s="4"/>
    </row>
    <row r="95" spans="1:11">
      <c r="A95" s="4" t="s">
        <v>189</v>
      </c>
      <c r="B95" s="5">
        <v>46098</v>
      </c>
      <c r="C95" s="4" t="s">
        <v>61</v>
      </c>
      <c r="D95" s="4" t="s">
        <v>41</v>
      </c>
      <c r="E95" s="4" t="s">
        <v>44</v>
      </c>
      <c r="F95" s="6">
        <v>19932.2</v>
      </c>
      <c r="G95" s="4" t="s">
        <v>190</v>
      </c>
      <c r="H95" s="4" t="s">
        <v>39</v>
      </c>
      <c r="I95" s="4"/>
      <c r="J95" s="4"/>
      <c r="K95" s="4"/>
    </row>
    <row r="96" spans="1:11">
      <c r="A96" s="4" t="s">
        <v>191</v>
      </c>
      <c r="B96" s="5">
        <v>46188</v>
      </c>
      <c r="C96" s="4" t="s">
        <v>37</v>
      </c>
      <c r="D96" s="4" t="s">
        <v>33</v>
      </c>
      <c r="E96" s="4" t="s">
        <v>34</v>
      </c>
      <c r="F96" s="6">
        <v>21168.18</v>
      </c>
      <c r="G96" s="4" t="s">
        <v>130</v>
      </c>
      <c r="H96" s="4" t="s">
        <v>31</v>
      </c>
      <c r="I96" s="4"/>
      <c r="J96" s="4"/>
      <c r="K96" s="4"/>
    </row>
    <row r="97" spans="1:11">
      <c r="A97" s="4" t="s">
        <v>192</v>
      </c>
      <c r="B97" s="5">
        <v>46132</v>
      </c>
      <c r="C97" s="4" t="s">
        <v>61</v>
      </c>
      <c r="D97" s="4" t="s">
        <v>28</v>
      </c>
      <c r="E97" s="4" t="s">
        <v>44</v>
      </c>
      <c r="F97" s="6">
        <v>24859.16</v>
      </c>
      <c r="G97" s="4" t="s">
        <v>115</v>
      </c>
      <c r="H97" s="4" t="s">
        <v>31</v>
      </c>
      <c r="I97" s="4"/>
      <c r="J97" s="4"/>
      <c r="K97" s="4"/>
    </row>
    <row r="98" spans="1:11">
      <c r="A98" s="4" t="s">
        <v>193</v>
      </c>
      <c r="B98" s="5">
        <v>46180</v>
      </c>
      <c r="C98" s="4" t="s">
        <v>27</v>
      </c>
      <c r="D98" s="4" t="s">
        <v>28</v>
      </c>
      <c r="E98" s="4" t="s">
        <v>38</v>
      </c>
      <c r="F98" s="6">
        <v>-57847.97</v>
      </c>
      <c r="G98" s="4" t="s">
        <v>177</v>
      </c>
      <c r="H98" s="4" t="s">
        <v>31</v>
      </c>
      <c r="I98" s="4"/>
      <c r="J98" s="4"/>
      <c r="K98" s="4"/>
    </row>
    <row r="99" spans="1:11">
      <c r="A99" s="4" t="s">
        <v>194</v>
      </c>
      <c r="B99" s="5">
        <v>46128</v>
      </c>
      <c r="C99" s="4" t="s">
        <v>37</v>
      </c>
      <c r="D99" s="4" t="s">
        <v>33</v>
      </c>
      <c r="E99" s="4" t="s">
        <v>38</v>
      </c>
      <c r="F99" s="6">
        <v>-50455.16</v>
      </c>
      <c r="G99" s="4" t="s">
        <v>85</v>
      </c>
      <c r="H99" s="4" t="s">
        <v>31</v>
      </c>
      <c r="I99" s="4"/>
      <c r="J99" s="4"/>
      <c r="K99" s="4"/>
    </row>
    <row r="100" spans="1:11">
      <c r="A100" s="4" t="s">
        <v>195</v>
      </c>
      <c r="B100" s="5">
        <v>46185</v>
      </c>
      <c r="C100" s="4" t="s">
        <v>61</v>
      </c>
      <c r="D100" s="4" t="s">
        <v>33</v>
      </c>
      <c r="E100" s="4" t="s">
        <v>55</v>
      </c>
      <c r="F100" s="6">
        <v>-18464.25</v>
      </c>
      <c r="G100" s="4" t="s">
        <v>102</v>
      </c>
      <c r="H100" s="4" t="s">
        <v>31</v>
      </c>
      <c r="I100" s="4"/>
      <c r="J100" s="4"/>
      <c r="K100" s="4"/>
    </row>
    <row r="101" spans="1:11">
      <c r="A101" s="4" t="s">
        <v>196</v>
      </c>
      <c r="B101" s="5">
        <v>46107</v>
      </c>
      <c r="C101" s="4" t="s">
        <v>47</v>
      </c>
      <c r="D101" s="4" t="s">
        <v>50</v>
      </c>
      <c r="E101" s="4" t="s">
        <v>55</v>
      </c>
      <c r="F101" s="6">
        <v>-20497.66</v>
      </c>
      <c r="G101" s="4" t="s">
        <v>97</v>
      </c>
      <c r="H101" s="4" t="s">
        <v>31</v>
      </c>
      <c r="I101" s="4"/>
      <c r="J101" s="4"/>
      <c r="K101" s="4"/>
    </row>
    <row r="102" spans="1:11">
      <c r="A102" s="4" t="s">
        <v>197</v>
      </c>
      <c r="B102" s="5">
        <v>46110</v>
      </c>
      <c r="C102" s="4" t="s">
        <v>47</v>
      </c>
      <c r="D102" s="4" t="s">
        <v>50</v>
      </c>
      <c r="E102" s="4" t="s">
        <v>55</v>
      </c>
      <c r="F102" s="6">
        <v>-37367.78</v>
      </c>
      <c r="G102" s="4" t="s">
        <v>161</v>
      </c>
      <c r="H102" s="4" t="s">
        <v>31</v>
      </c>
      <c r="I102" s="4"/>
      <c r="J102" s="4"/>
      <c r="K102" s="4"/>
    </row>
    <row r="103" spans="1:11">
      <c r="A103" s="4" t="s">
        <v>198</v>
      </c>
      <c r="B103" s="5">
        <v>46091</v>
      </c>
      <c r="C103" s="4" t="s">
        <v>47</v>
      </c>
      <c r="D103" s="4" t="s">
        <v>50</v>
      </c>
      <c r="E103" s="4" t="s">
        <v>34</v>
      </c>
      <c r="F103" s="6">
        <v>47986.47</v>
      </c>
      <c r="G103" s="4" t="s">
        <v>199</v>
      </c>
      <c r="H103" s="4" t="s">
        <v>31</v>
      </c>
      <c r="I103" s="4"/>
      <c r="J103" s="4"/>
      <c r="K103" s="4"/>
    </row>
    <row r="104" spans="1:11">
      <c r="A104" s="4" t="s">
        <v>200</v>
      </c>
      <c r="B104" s="5">
        <v>46073</v>
      </c>
      <c r="C104" s="4" t="s">
        <v>47</v>
      </c>
      <c r="D104" s="4" t="s">
        <v>50</v>
      </c>
      <c r="E104" s="4" t="s">
        <v>55</v>
      </c>
      <c r="F104" s="6">
        <v>-31918.5</v>
      </c>
      <c r="G104" s="4" t="s">
        <v>82</v>
      </c>
      <c r="H104" s="4" t="s">
        <v>31</v>
      </c>
      <c r="I104" s="4"/>
      <c r="J104" s="4"/>
      <c r="K104" s="4"/>
    </row>
    <row r="105" spans="1:11">
      <c r="A105" s="4" t="s">
        <v>201</v>
      </c>
      <c r="B105" s="5">
        <v>46136</v>
      </c>
      <c r="C105" s="4" t="s">
        <v>27</v>
      </c>
      <c r="D105" s="4" t="s">
        <v>41</v>
      </c>
      <c r="E105" s="4" t="s">
        <v>29</v>
      </c>
      <c r="F105" s="6">
        <v>-23919.37</v>
      </c>
      <c r="G105" s="4" t="s">
        <v>161</v>
      </c>
      <c r="H105" s="4" t="s">
        <v>31</v>
      </c>
      <c r="I105" s="4"/>
      <c r="J105" s="4"/>
      <c r="K105" s="4"/>
    </row>
    <row r="106" spans="1:11">
      <c r="A106" s="4" t="s">
        <v>202</v>
      </c>
      <c r="B106" s="5">
        <v>46187</v>
      </c>
      <c r="C106" s="4" t="s">
        <v>37</v>
      </c>
      <c r="D106" s="4" t="s">
        <v>41</v>
      </c>
      <c r="E106" s="4" t="s">
        <v>58</v>
      </c>
      <c r="F106" s="6">
        <v>-24082.93</v>
      </c>
      <c r="G106" s="4" t="s">
        <v>97</v>
      </c>
      <c r="H106" s="4" t="s">
        <v>31</v>
      </c>
      <c r="I106" s="4"/>
      <c r="J106" s="4"/>
      <c r="K106" s="4"/>
    </row>
    <row r="107" spans="1:11">
      <c r="A107" s="4" t="s">
        <v>203</v>
      </c>
      <c r="B107" s="5">
        <v>46058</v>
      </c>
      <c r="C107" s="4" t="s">
        <v>27</v>
      </c>
      <c r="D107" s="4" t="s">
        <v>28</v>
      </c>
      <c r="E107" s="4" t="s">
        <v>29</v>
      </c>
      <c r="F107" s="6">
        <v>-57073.12</v>
      </c>
      <c r="G107" s="4" t="s">
        <v>204</v>
      </c>
      <c r="H107" s="4" t="s">
        <v>31</v>
      </c>
      <c r="I107" s="4"/>
      <c r="J107" s="4"/>
      <c r="K107" s="4"/>
    </row>
    <row r="108" spans="1:11">
      <c r="A108" s="4" t="s">
        <v>205</v>
      </c>
      <c r="B108" s="5">
        <v>46045</v>
      </c>
      <c r="C108" s="4" t="s">
        <v>47</v>
      </c>
      <c r="D108" s="4" t="s">
        <v>41</v>
      </c>
      <c r="E108" s="4" t="s">
        <v>55</v>
      </c>
      <c r="F108" s="6">
        <v>-43276.39</v>
      </c>
      <c r="G108" s="4" t="s">
        <v>110</v>
      </c>
      <c r="H108" s="4" t="s">
        <v>39</v>
      </c>
      <c r="I108" s="4"/>
      <c r="J108" s="4"/>
      <c r="K108" s="4"/>
    </row>
    <row r="109" spans="1:11">
      <c r="A109" s="4" t="s">
        <v>206</v>
      </c>
      <c r="B109" s="5">
        <v>46070</v>
      </c>
      <c r="C109" s="4" t="s">
        <v>37</v>
      </c>
      <c r="D109" s="4" t="s">
        <v>50</v>
      </c>
      <c r="E109" s="4" t="s">
        <v>44</v>
      </c>
      <c r="F109" s="6">
        <v>39974.57</v>
      </c>
      <c r="G109" s="4" t="s">
        <v>45</v>
      </c>
      <c r="H109" s="4" t="s">
        <v>39</v>
      </c>
      <c r="I109" s="4"/>
      <c r="J109" s="4"/>
      <c r="K109" s="4"/>
    </row>
    <row r="110" spans="1:11">
      <c r="A110" s="4" t="s">
        <v>207</v>
      </c>
      <c r="B110" s="5">
        <v>46070</v>
      </c>
      <c r="C110" s="4" t="s">
        <v>61</v>
      </c>
      <c r="D110" s="4" t="s">
        <v>28</v>
      </c>
      <c r="E110" s="4" t="s">
        <v>55</v>
      </c>
      <c r="F110" s="6">
        <v>-24831.36</v>
      </c>
      <c r="G110" s="4" t="s">
        <v>106</v>
      </c>
      <c r="H110" s="4" t="s">
        <v>31</v>
      </c>
      <c r="I110" s="4"/>
      <c r="J110" s="4"/>
      <c r="K110" s="4"/>
    </row>
    <row r="111" spans="1:11">
      <c r="A111" s="4" t="s">
        <v>208</v>
      </c>
      <c r="B111" s="5">
        <v>46107</v>
      </c>
      <c r="C111" s="4" t="s">
        <v>27</v>
      </c>
      <c r="D111" s="4" t="s">
        <v>50</v>
      </c>
      <c r="E111" s="4" t="s">
        <v>34</v>
      </c>
      <c r="F111" s="6">
        <v>61278.76</v>
      </c>
      <c r="G111" s="4" t="s">
        <v>209</v>
      </c>
      <c r="H111" s="4" t="s">
        <v>39</v>
      </c>
      <c r="I111" s="4"/>
      <c r="J111" s="4"/>
      <c r="K111" s="4"/>
    </row>
    <row r="112" spans="1:11">
      <c r="A112" s="4" t="s">
        <v>210</v>
      </c>
      <c r="B112" s="5">
        <v>46196</v>
      </c>
      <c r="C112" s="4" t="s">
        <v>61</v>
      </c>
      <c r="D112" s="4" t="s">
        <v>33</v>
      </c>
      <c r="E112" s="4" t="s">
        <v>58</v>
      </c>
      <c r="F112" s="6">
        <v>-36381.45</v>
      </c>
      <c r="G112" s="4" t="s">
        <v>42</v>
      </c>
      <c r="H112" s="4" t="s">
        <v>31</v>
      </c>
      <c r="I112" s="4"/>
      <c r="J112" s="4"/>
      <c r="K112" s="4"/>
    </row>
    <row r="113" spans="1:11">
      <c r="A113" s="4" t="s">
        <v>211</v>
      </c>
      <c r="B113" s="5">
        <v>46060</v>
      </c>
      <c r="C113" s="4" t="s">
        <v>27</v>
      </c>
      <c r="D113" s="4" t="s">
        <v>33</v>
      </c>
      <c r="E113" s="4" t="s">
        <v>34</v>
      </c>
      <c r="F113" s="6">
        <v>55944.73</v>
      </c>
      <c r="G113" s="4" t="s">
        <v>212</v>
      </c>
      <c r="H113" s="4" t="s">
        <v>31</v>
      </c>
      <c r="I113" s="4"/>
      <c r="J113" s="4"/>
      <c r="K113" s="4"/>
    </row>
    <row r="114" spans="1:11">
      <c r="A114" s="4" t="s">
        <v>213</v>
      </c>
      <c r="B114" s="5">
        <v>46077</v>
      </c>
      <c r="C114" s="4" t="s">
        <v>27</v>
      </c>
      <c r="D114" s="4" t="s">
        <v>41</v>
      </c>
      <c r="E114" s="4" t="s">
        <v>34</v>
      </c>
      <c r="F114" s="6">
        <v>37255.93</v>
      </c>
      <c r="G114" s="4" t="s">
        <v>214</v>
      </c>
      <c r="H114" s="4" t="s">
        <v>31</v>
      </c>
      <c r="I114" s="4"/>
      <c r="J114" s="4"/>
      <c r="K114" s="4"/>
    </row>
    <row r="115" spans="1:11">
      <c r="A115" s="4" t="s">
        <v>215</v>
      </c>
      <c r="B115" s="5">
        <v>46036</v>
      </c>
      <c r="C115" s="4" t="s">
        <v>27</v>
      </c>
      <c r="D115" s="4" t="s">
        <v>28</v>
      </c>
      <c r="E115" s="4" t="s">
        <v>38</v>
      </c>
      <c r="F115" s="6">
        <v>-55556.85</v>
      </c>
      <c r="G115" s="4" t="s">
        <v>62</v>
      </c>
      <c r="H115" s="4" t="s">
        <v>31</v>
      </c>
      <c r="I115" s="4"/>
      <c r="J115" s="4"/>
      <c r="K115" s="4"/>
    </row>
    <row r="116" spans="1:11">
      <c r="A116" s="4" t="s">
        <v>216</v>
      </c>
      <c r="B116" s="5">
        <v>46189</v>
      </c>
      <c r="C116" s="4" t="s">
        <v>27</v>
      </c>
      <c r="D116" s="4" t="s">
        <v>50</v>
      </c>
      <c r="E116" s="4" t="s">
        <v>38</v>
      </c>
      <c r="F116" s="6">
        <v>-44885.29</v>
      </c>
      <c r="G116" s="4" t="s">
        <v>73</v>
      </c>
      <c r="H116" s="4" t="s">
        <v>31</v>
      </c>
      <c r="I116" s="4"/>
      <c r="J116" s="4"/>
      <c r="K116" s="4"/>
    </row>
    <row r="117" spans="1:11">
      <c r="A117" s="4" t="s">
        <v>217</v>
      </c>
      <c r="B117" s="5">
        <v>46107</v>
      </c>
      <c r="C117" s="4" t="s">
        <v>37</v>
      </c>
      <c r="D117" s="4" t="s">
        <v>28</v>
      </c>
      <c r="E117" s="4" t="s">
        <v>38</v>
      </c>
      <c r="F117" s="6">
        <v>-32763.2</v>
      </c>
      <c r="G117" s="4" t="s">
        <v>97</v>
      </c>
      <c r="H117" s="4" t="s">
        <v>31</v>
      </c>
      <c r="I117" s="4"/>
      <c r="J117" s="4"/>
      <c r="K117" s="4"/>
    </row>
    <row r="118" spans="1:11">
      <c r="A118" s="4" t="s">
        <v>218</v>
      </c>
      <c r="B118" s="5">
        <v>46051</v>
      </c>
      <c r="C118" s="4" t="s">
        <v>61</v>
      </c>
      <c r="D118" s="4" t="s">
        <v>41</v>
      </c>
      <c r="E118" s="4" t="s">
        <v>58</v>
      </c>
      <c r="F118" s="6">
        <v>-32906.56</v>
      </c>
      <c r="G118" s="4" t="s">
        <v>219</v>
      </c>
      <c r="H118" s="4" t="s">
        <v>31</v>
      </c>
      <c r="I118" s="4"/>
      <c r="J118" s="4"/>
      <c r="K118" s="4"/>
    </row>
    <row r="119" spans="1:11">
      <c r="A119" s="4" t="s">
        <v>220</v>
      </c>
      <c r="B119" s="5">
        <v>46131</v>
      </c>
      <c r="C119" s="4" t="s">
        <v>37</v>
      </c>
      <c r="D119" s="4" t="s">
        <v>33</v>
      </c>
      <c r="E119" s="4" t="s">
        <v>29</v>
      </c>
      <c r="F119" s="6">
        <v>-16546.65</v>
      </c>
      <c r="G119" s="4" t="s">
        <v>106</v>
      </c>
      <c r="H119" s="4" t="s">
        <v>39</v>
      </c>
      <c r="I119" s="4"/>
      <c r="J119" s="4"/>
      <c r="K119" s="4"/>
    </row>
    <row r="120" spans="1:11">
      <c r="A120" s="4" t="s">
        <v>221</v>
      </c>
      <c r="B120" s="5">
        <v>46111</v>
      </c>
      <c r="C120" s="4" t="s">
        <v>47</v>
      </c>
      <c r="D120" s="4" t="s">
        <v>50</v>
      </c>
      <c r="E120" s="4" t="s">
        <v>55</v>
      </c>
      <c r="F120" s="6">
        <v>-35388.76</v>
      </c>
      <c r="G120" s="4" t="s">
        <v>113</v>
      </c>
      <c r="H120" s="4" t="s">
        <v>31</v>
      </c>
      <c r="I120" s="4"/>
      <c r="J120" s="4"/>
      <c r="K120" s="4"/>
    </row>
    <row r="121" spans="1:11">
      <c r="A121" s="4" t="s">
        <v>222</v>
      </c>
      <c r="B121" s="5">
        <v>46113</v>
      </c>
      <c r="C121" s="4" t="s">
        <v>61</v>
      </c>
      <c r="D121" s="4" t="s">
        <v>50</v>
      </c>
      <c r="E121" s="4" t="s">
        <v>34</v>
      </c>
      <c r="F121" s="6">
        <v>33862.45</v>
      </c>
      <c r="G121" s="4" t="s">
        <v>93</v>
      </c>
      <c r="H121" s="4" t="s">
        <v>39</v>
      </c>
      <c r="I121" s="4"/>
      <c r="J121" s="4"/>
      <c r="K121" s="4"/>
    </row>
    <row r="122" spans="1:11">
      <c r="A122" s="4" t="s">
        <v>223</v>
      </c>
      <c r="B122" s="5">
        <v>46158</v>
      </c>
      <c r="C122" s="4" t="s">
        <v>61</v>
      </c>
      <c r="D122" s="4" t="s">
        <v>28</v>
      </c>
      <c r="E122" s="4" t="s">
        <v>29</v>
      </c>
      <c r="F122" s="6">
        <v>-38726.96</v>
      </c>
      <c r="G122" s="4" t="s">
        <v>102</v>
      </c>
      <c r="H122" s="4" t="s">
        <v>31</v>
      </c>
      <c r="I122" s="4"/>
      <c r="J122" s="4"/>
      <c r="K122" s="4"/>
    </row>
    <row r="123" spans="1:11">
      <c r="A123" s="4" t="s">
        <v>224</v>
      </c>
      <c r="B123" s="5">
        <v>46033</v>
      </c>
      <c r="C123" s="4" t="s">
        <v>37</v>
      </c>
      <c r="D123" s="4" t="s">
        <v>28</v>
      </c>
      <c r="E123" s="4" t="s">
        <v>55</v>
      </c>
      <c r="F123" s="6">
        <v>-11206.35</v>
      </c>
      <c r="G123" s="4" t="s">
        <v>71</v>
      </c>
      <c r="H123" s="4" t="s">
        <v>31</v>
      </c>
      <c r="I123" s="4"/>
      <c r="J123" s="4"/>
      <c r="K123" s="4"/>
    </row>
    <row r="124" spans="1:11">
      <c r="A124" s="4" t="s">
        <v>225</v>
      </c>
      <c r="B124" s="5">
        <v>46120</v>
      </c>
      <c r="C124" s="4" t="s">
        <v>47</v>
      </c>
      <c r="D124" s="4" t="s">
        <v>33</v>
      </c>
      <c r="E124" s="4" t="s">
        <v>44</v>
      </c>
      <c r="F124" s="6">
        <v>30639.94</v>
      </c>
      <c r="G124" s="4" t="s">
        <v>226</v>
      </c>
      <c r="H124" s="4" t="s">
        <v>31</v>
      </c>
      <c r="I124" s="4"/>
      <c r="J124" s="4"/>
      <c r="K124" s="4"/>
    </row>
    <row r="125" spans="1:11">
      <c r="A125" s="4" t="s">
        <v>227</v>
      </c>
      <c r="B125" s="5">
        <v>46142</v>
      </c>
      <c r="C125" s="4" t="s">
        <v>37</v>
      </c>
      <c r="D125" s="4" t="s">
        <v>33</v>
      </c>
      <c r="E125" s="4" t="s">
        <v>58</v>
      </c>
      <c r="F125" s="6">
        <v>-15902.08</v>
      </c>
      <c r="G125" s="4" t="s">
        <v>119</v>
      </c>
      <c r="H125" s="4" t="s">
        <v>31</v>
      </c>
      <c r="I125" s="4"/>
      <c r="J125" s="4"/>
      <c r="K125" s="4"/>
    </row>
    <row r="126" spans="1:11">
      <c r="A126" s="4" t="s">
        <v>228</v>
      </c>
      <c r="B126" s="5">
        <v>46072</v>
      </c>
      <c r="C126" s="4" t="s">
        <v>37</v>
      </c>
      <c r="D126" s="4" t="s">
        <v>41</v>
      </c>
      <c r="E126" s="4" t="s">
        <v>44</v>
      </c>
      <c r="F126" s="6">
        <v>42006.5</v>
      </c>
      <c r="G126" s="4" t="s">
        <v>166</v>
      </c>
      <c r="H126" s="4" t="s">
        <v>39</v>
      </c>
      <c r="I126" s="4"/>
      <c r="J126" s="4"/>
      <c r="K126" s="4"/>
    </row>
    <row r="127" spans="1:11">
      <c r="A127" s="4" t="s">
        <v>229</v>
      </c>
      <c r="B127" s="5">
        <v>46116</v>
      </c>
      <c r="C127" s="4" t="s">
        <v>47</v>
      </c>
      <c r="D127" s="4" t="s">
        <v>33</v>
      </c>
      <c r="E127" s="4" t="s">
        <v>34</v>
      </c>
      <c r="F127" s="6">
        <v>26650.17</v>
      </c>
      <c r="G127" s="4" t="s">
        <v>230</v>
      </c>
      <c r="H127" s="4" t="s">
        <v>39</v>
      </c>
      <c r="I127" s="4"/>
      <c r="J127" s="4"/>
      <c r="K127" s="4"/>
    </row>
    <row r="128" spans="1:11">
      <c r="A128" s="4" t="s">
        <v>231</v>
      </c>
      <c r="B128" s="5">
        <v>46167</v>
      </c>
      <c r="C128" s="4" t="s">
        <v>47</v>
      </c>
      <c r="D128" s="4" t="s">
        <v>41</v>
      </c>
      <c r="E128" s="4" t="s">
        <v>29</v>
      </c>
      <c r="F128" s="6">
        <v>-53642.99</v>
      </c>
      <c r="G128" s="4" t="s">
        <v>164</v>
      </c>
      <c r="H128" s="4" t="s">
        <v>31</v>
      </c>
      <c r="I128" s="4"/>
      <c r="J128" s="4"/>
      <c r="K128" s="4"/>
    </row>
    <row r="129" spans="1:11">
      <c r="A129" s="4" t="s">
        <v>232</v>
      </c>
      <c r="B129" s="5">
        <v>46184</v>
      </c>
      <c r="C129" s="4" t="s">
        <v>27</v>
      </c>
      <c r="D129" s="4" t="s">
        <v>28</v>
      </c>
      <c r="E129" s="4" t="s">
        <v>55</v>
      </c>
      <c r="F129" s="6">
        <v>-27215.09</v>
      </c>
      <c r="G129" s="4" t="s">
        <v>179</v>
      </c>
      <c r="H129" s="4" t="s">
        <v>39</v>
      </c>
      <c r="I129" s="4"/>
      <c r="J129" s="4"/>
      <c r="K129" s="4"/>
    </row>
    <row r="130" spans="1:11">
      <c r="A130" s="4" t="s">
        <v>233</v>
      </c>
      <c r="B130" s="5">
        <v>46127</v>
      </c>
      <c r="C130" s="4" t="s">
        <v>37</v>
      </c>
      <c r="D130" s="4" t="s">
        <v>41</v>
      </c>
      <c r="E130" s="4" t="s">
        <v>38</v>
      </c>
      <c r="F130" s="6">
        <v>-57810.82</v>
      </c>
      <c r="G130" s="4" t="s">
        <v>121</v>
      </c>
      <c r="H130" s="4" t="s">
        <v>39</v>
      </c>
      <c r="I130" s="4"/>
      <c r="J130" s="4"/>
      <c r="K130" s="4"/>
    </row>
    <row r="131" spans="1:11">
      <c r="A131" s="4" t="s">
        <v>234</v>
      </c>
      <c r="B131" s="5">
        <v>46070</v>
      </c>
      <c r="C131" s="4" t="s">
        <v>47</v>
      </c>
      <c r="D131" s="4" t="s">
        <v>28</v>
      </c>
      <c r="E131" s="4" t="s">
        <v>55</v>
      </c>
      <c r="F131" s="6">
        <v>-9231.370000000001</v>
      </c>
      <c r="G131" s="4" t="s">
        <v>68</v>
      </c>
      <c r="H131" s="4" t="s">
        <v>39</v>
      </c>
      <c r="I131" s="4"/>
      <c r="J131" s="4"/>
      <c r="K131" s="4"/>
    </row>
    <row r="132" spans="1:11">
      <c r="A132" s="4" t="s">
        <v>235</v>
      </c>
      <c r="B132" s="5">
        <v>46198</v>
      </c>
      <c r="C132" s="4" t="s">
        <v>61</v>
      </c>
      <c r="D132" s="4" t="s">
        <v>33</v>
      </c>
      <c r="E132" s="4" t="s">
        <v>44</v>
      </c>
      <c r="F132" s="6">
        <v>20094.89</v>
      </c>
      <c r="G132" s="4" t="s">
        <v>166</v>
      </c>
      <c r="H132" s="4" t="s">
        <v>31</v>
      </c>
      <c r="I132" s="4"/>
      <c r="J132" s="4"/>
      <c r="K132" s="4"/>
    </row>
    <row r="133" spans="1:11">
      <c r="A133" s="4" t="s">
        <v>236</v>
      </c>
      <c r="B133" s="5">
        <v>46067</v>
      </c>
      <c r="C133" s="4" t="s">
        <v>37</v>
      </c>
      <c r="D133" s="4" t="s">
        <v>28</v>
      </c>
      <c r="E133" s="4" t="s">
        <v>44</v>
      </c>
      <c r="F133" s="6">
        <v>39785.43</v>
      </c>
      <c r="G133" s="4" t="s">
        <v>237</v>
      </c>
      <c r="H133" s="4" t="s">
        <v>31</v>
      </c>
      <c r="I133" s="4"/>
      <c r="J133" s="4"/>
      <c r="K133" s="4"/>
    </row>
    <row r="134" spans="1:11">
      <c r="A134" s="4" t="s">
        <v>238</v>
      </c>
      <c r="B134" s="5">
        <v>46169</v>
      </c>
      <c r="C134" s="4" t="s">
        <v>61</v>
      </c>
      <c r="D134" s="4" t="s">
        <v>33</v>
      </c>
      <c r="E134" s="4" t="s">
        <v>58</v>
      </c>
      <c r="F134" s="6">
        <v>-31582.23</v>
      </c>
      <c r="G134" s="4" t="s">
        <v>59</v>
      </c>
      <c r="H134" s="4" t="s">
        <v>31</v>
      </c>
      <c r="I134" s="4"/>
      <c r="J134" s="4"/>
      <c r="K134" s="4"/>
    </row>
    <row r="135" spans="1:11">
      <c r="A135" s="4" t="s">
        <v>239</v>
      </c>
      <c r="B135" s="5">
        <v>46074</v>
      </c>
      <c r="C135" s="4" t="s">
        <v>37</v>
      </c>
      <c r="D135" s="4" t="s">
        <v>33</v>
      </c>
      <c r="E135" s="4" t="s">
        <v>55</v>
      </c>
      <c r="F135" s="6">
        <v>-18288.3</v>
      </c>
      <c r="G135" s="4" t="s">
        <v>106</v>
      </c>
      <c r="H135" s="4" t="s">
        <v>31</v>
      </c>
      <c r="I135" s="4"/>
      <c r="J135" s="4"/>
      <c r="K135" s="4"/>
    </row>
    <row r="136" spans="1:11">
      <c r="A136" s="4" t="s">
        <v>240</v>
      </c>
      <c r="B136" s="5">
        <v>46054</v>
      </c>
      <c r="C136" s="4" t="s">
        <v>61</v>
      </c>
      <c r="D136" s="4" t="s">
        <v>41</v>
      </c>
      <c r="E136" s="4" t="s">
        <v>38</v>
      </c>
      <c r="F136" s="6">
        <v>-11199.87</v>
      </c>
      <c r="G136" s="4" t="s">
        <v>164</v>
      </c>
      <c r="H136" s="4" t="s">
        <v>31</v>
      </c>
      <c r="I136" s="4"/>
      <c r="J136" s="4"/>
      <c r="K136" s="4"/>
    </row>
    <row r="137" spans="1:11">
      <c r="A137" s="4" t="s">
        <v>241</v>
      </c>
      <c r="B137" s="5">
        <v>46142</v>
      </c>
      <c r="C137" s="4" t="s">
        <v>61</v>
      </c>
      <c r="D137" s="4" t="s">
        <v>33</v>
      </c>
      <c r="E137" s="4" t="s">
        <v>29</v>
      </c>
      <c r="F137" s="6">
        <v>-8896.16</v>
      </c>
      <c r="G137" s="4" t="s">
        <v>125</v>
      </c>
      <c r="H137" s="4" t="s">
        <v>31</v>
      </c>
      <c r="I137" s="4"/>
      <c r="J137" s="4"/>
      <c r="K137" s="4"/>
    </row>
    <row r="138" spans="1:11">
      <c r="A138" s="4" t="s">
        <v>242</v>
      </c>
      <c r="B138" s="5">
        <v>46184</v>
      </c>
      <c r="C138" s="4" t="s">
        <v>37</v>
      </c>
      <c r="D138" s="4" t="s">
        <v>28</v>
      </c>
      <c r="E138" s="4" t="s">
        <v>34</v>
      </c>
      <c r="F138" s="6">
        <v>55666.37</v>
      </c>
      <c r="G138" s="4" t="s">
        <v>243</v>
      </c>
      <c r="H138" s="4" t="s">
        <v>31</v>
      </c>
      <c r="I138" s="4"/>
      <c r="J138" s="4"/>
      <c r="K138" s="4"/>
    </row>
    <row r="139" spans="1:11">
      <c r="A139" s="4" t="s">
        <v>244</v>
      </c>
      <c r="B139" s="5">
        <v>46191</v>
      </c>
      <c r="C139" s="4" t="s">
        <v>27</v>
      </c>
      <c r="D139" s="4" t="s">
        <v>33</v>
      </c>
      <c r="E139" s="4" t="s">
        <v>58</v>
      </c>
      <c r="F139" s="6">
        <v>-53095.21</v>
      </c>
      <c r="G139" s="4" t="s">
        <v>85</v>
      </c>
      <c r="H139" s="4" t="s">
        <v>31</v>
      </c>
      <c r="I139" s="4"/>
      <c r="J139" s="4"/>
      <c r="K139" s="4"/>
    </row>
    <row r="140" spans="1:11">
      <c r="A140" s="4" t="s">
        <v>245</v>
      </c>
      <c r="B140" s="5">
        <v>46180</v>
      </c>
      <c r="C140" s="4" t="s">
        <v>27</v>
      </c>
      <c r="D140" s="4" t="s">
        <v>28</v>
      </c>
      <c r="E140" s="4" t="s">
        <v>29</v>
      </c>
      <c r="F140" s="6">
        <v>-45522.9</v>
      </c>
      <c r="G140" s="4" t="s">
        <v>68</v>
      </c>
      <c r="H140" s="4" t="s">
        <v>31</v>
      </c>
      <c r="I140" s="4"/>
      <c r="J140" s="4"/>
      <c r="K140" s="4"/>
    </row>
    <row r="141" spans="1:11">
      <c r="A141" s="4" t="s">
        <v>246</v>
      </c>
      <c r="B141" s="5">
        <v>46044</v>
      </c>
      <c r="C141" s="4" t="s">
        <v>47</v>
      </c>
      <c r="D141" s="4" t="s">
        <v>33</v>
      </c>
      <c r="E141" s="4" t="s">
        <v>34</v>
      </c>
      <c r="F141" s="6">
        <v>46780.7</v>
      </c>
      <c r="G141" s="4" t="s">
        <v>128</v>
      </c>
      <c r="H141" s="4" t="s">
        <v>31</v>
      </c>
      <c r="I141" s="4"/>
      <c r="J141" s="4"/>
      <c r="K141" s="4"/>
    </row>
    <row r="142" spans="1:11">
      <c r="A142" s="4" t="s">
        <v>247</v>
      </c>
      <c r="B142" s="5">
        <v>46156</v>
      </c>
      <c r="C142" s="4" t="s">
        <v>27</v>
      </c>
      <c r="D142" s="4" t="s">
        <v>33</v>
      </c>
      <c r="E142" s="4" t="s">
        <v>58</v>
      </c>
      <c r="F142" s="6">
        <v>-17638.66</v>
      </c>
      <c r="G142" s="4" t="s">
        <v>80</v>
      </c>
      <c r="H142" s="4" t="s">
        <v>31</v>
      </c>
      <c r="I142" s="4"/>
      <c r="J142" s="4"/>
      <c r="K142" s="4"/>
    </row>
    <row r="143" spans="1:11">
      <c r="A143" s="4" t="s">
        <v>248</v>
      </c>
      <c r="B143" s="5">
        <v>46099</v>
      </c>
      <c r="C143" s="4" t="s">
        <v>61</v>
      </c>
      <c r="D143" s="4" t="s">
        <v>50</v>
      </c>
      <c r="E143" s="4" t="s">
        <v>55</v>
      </c>
      <c r="F143" s="6">
        <v>-14326.16</v>
      </c>
      <c r="G143" s="4" t="s">
        <v>80</v>
      </c>
      <c r="H143" s="4" t="s">
        <v>31</v>
      </c>
      <c r="I143" s="4"/>
      <c r="J143" s="4"/>
      <c r="K143" s="4"/>
    </row>
    <row r="144" spans="1:11">
      <c r="A144" s="4" t="s">
        <v>249</v>
      </c>
      <c r="B144" s="5">
        <v>46049</v>
      </c>
      <c r="C144" s="4" t="s">
        <v>37</v>
      </c>
      <c r="D144" s="4" t="s">
        <v>41</v>
      </c>
      <c r="E144" s="4" t="s">
        <v>38</v>
      </c>
      <c r="F144" s="6">
        <v>-12624.23</v>
      </c>
      <c r="G144" s="4" t="s">
        <v>100</v>
      </c>
      <c r="H144" s="4" t="s">
        <v>31</v>
      </c>
      <c r="I144" s="4"/>
      <c r="J144" s="4"/>
      <c r="K144" s="4"/>
    </row>
    <row r="145" spans="1:11">
      <c r="A145" s="4" t="s">
        <v>250</v>
      </c>
      <c r="B145" s="5">
        <v>46058</v>
      </c>
      <c r="C145" s="4" t="s">
        <v>61</v>
      </c>
      <c r="D145" s="4" t="s">
        <v>41</v>
      </c>
      <c r="E145" s="4" t="s">
        <v>34</v>
      </c>
      <c r="F145" s="6">
        <v>39148.16</v>
      </c>
      <c r="G145" s="4" t="s">
        <v>251</v>
      </c>
      <c r="H145" s="4" t="s">
        <v>39</v>
      </c>
      <c r="I145" s="4"/>
      <c r="J145" s="4"/>
      <c r="K145" s="4"/>
    </row>
    <row r="146" spans="1:11">
      <c r="A146" s="4" t="s">
        <v>252</v>
      </c>
      <c r="B146" s="5">
        <v>46152</v>
      </c>
      <c r="C146" s="4" t="s">
        <v>61</v>
      </c>
      <c r="D146" s="4" t="s">
        <v>28</v>
      </c>
      <c r="E146" s="4" t="s">
        <v>44</v>
      </c>
      <c r="F146" s="6">
        <v>35578.82</v>
      </c>
      <c r="G146" s="4" t="s">
        <v>253</v>
      </c>
      <c r="H146" s="4" t="s">
        <v>31</v>
      </c>
      <c r="I146" s="4"/>
      <c r="J146" s="4"/>
      <c r="K146" s="4"/>
    </row>
    <row r="147" spans="1:11">
      <c r="A147" s="4" t="s">
        <v>254</v>
      </c>
      <c r="B147" s="5">
        <v>46079</v>
      </c>
      <c r="C147" s="4" t="s">
        <v>61</v>
      </c>
      <c r="D147" s="4" t="s">
        <v>28</v>
      </c>
      <c r="E147" s="4" t="s">
        <v>34</v>
      </c>
      <c r="F147" s="6">
        <v>54867.04</v>
      </c>
      <c r="G147" s="4" t="s">
        <v>166</v>
      </c>
      <c r="H147" s="4" t="s">
        <v>31</v>
      </c>
      <c r="I147" s="4"/>
      <c r="J147" s="4"/>
      <c r="K147" s="4"/>
    </row>
    <row r="148" spans="1:11">
      <c r="A148" s="4" t="s">
        <v>255</v>
      </c>
      <c r="B148" s="5">
        <v>46122</v>
      </c>
      <c r="C148" s="4" t="s">
        <v>27</v>
      </c>
      <c r="D148" s="4" t="s">
        <v>33</v>
      </c>
      <c r="E148" s="4" t="s">
        <v>44</v>
      </c>
      <c r="F148" s="6">
        <v>61526.52</v>
      </c>
      <c r="G148" s="4" t="s">
        <v>147</v>
      </c>
      <c r="H148" s="4" t="s">
        <v>31</v>
      </c>
      <c r="I148" s="4"/>
      <c r="J148" s="4"/>
      <c r="K148" s="4"/>
    </row>
    <row r="149" spans="1:11">
      <c r="A149" s="4" t="s">
        <v>256</v>
      </c>
      <c r="B149" s="5">
        <v>46176</v>
      </c>
      <c r="C149" s="4" t="s">
        <v>61</v>
      </c>
      <c r="D149" s="4" t="s">
        <v>33</v>
      </c>
      <c r="E149" s="4" t="s">
        <v>29</v>
      </c>
      <c r="F149" s="6">
        <v>-28680.54</v>
      </c>
      <c r="G149" s="4" t="s">
        <v>66</v>
      </c>
      <c r="H149" s="4" t="s">
        <v>31</v>
      </c>
      <c r="I149" s="4"/>
      <c r="J149" s="4"/>
      <c r="K149" s="4"/>
    </row>
    <row r="150" spans="1:11">
      <c r="A150" s="4" t="s">
        <v>257</v>
      </c>
      <c r="B150" s="5">
        <v>46138</v>
      </c>
      <c r="C150" s="4" t="s">
        <v>37</v>
      </c>
      <c r="D150" s="4" t="s">
        <v>50</v>
      </c>
      <c r="E150" s="4" t="s">
        <v>58</v>
      </c>
      <c r="F150" s="6">
        <v>-59558.92</v>
      </c>
      <c r="G150" s="4" t="s">
        <v>104</v>
      </c>
      <c r="H150" s="4" t="s">
        <v>31</v>
      </c>
      <c r="I150" s="4"/>
      <c r="J150" s="4"/>
      <c r="K150" s="4"/>
    </row>
    <row r="151" spans="1:11">
      <c r="A151" s="4" t="s">
        <v>258</v>
      </c>
      <c r="B151" s="5">
        <v>46127</v>
      </c>
      <c r="C151" s="4" t="s">
        <v>61</v>
      </c>
      <c r="D151" s="4" t="s">
        <v>33</v>
      </c>
      <c r="E151" s="4" t="s">
        <v>34</v>
      </c>
      <c r="F151" s="6">
        <v>17385.16</v>
      </c>
      <c r="G151" s="4" t="s">
        <v>259</v>
      </c>
      <c r="H151" s="4" t="s">
        <v>31</v>
      </c>
      <c r="I151" s="4"/>
      <c r="J151" s="4"/>
      <c r="K151" s="4"/>
    </row>
    <row r="152" spans="1:11">
      <c r="A152" s="4" t="s">
        <v>260</v>
      </c>
      <c r="B152" s="5">
        <v>46195</v>
      </c>
      <c r="C152" s="4" t="s">
        <v>61</v>
      </c>
      <c r="D152" s="4" t="s">
        <v>33</v>
      </c>
      <c r="E152" s="4" t="s">
        <v>55</v>
      </c>
      <c r="F152" s="6">
        <v>-52482.23</v>
      </c>
      <c r="G152" s="4" t="s">
        <v>102</v>
      </c>
      <c r="H152" s="4" t="s">
        <v>39</v>
      </c>
      <c r="I152" s="4"/>
      <c r="J152" s="4"/>
      <c r="K152" s="4"/>
    </row>
    <row r="153" spans="1:11">
      <c r="A153" s="4" t="s">
        <v>261</v>
      </c>
      <c r="B153" s="5">
        <v>46053</v>
      </c>
      <c r="C153" s="4" t="s">
        <v>27</v>
      </c>
      <c r="D153" s="4" t="s">
        <v>41</v>
      </c>
      <c r="E153" s="4" t="s">
        <v>44</v>
      </c>
      <c r="F153" s="6">
        <v>43537.54</v>
      </c>
      <c r="G153" s="4" t="s">
        <v>190</v>
      </c>
      <c r="H153" s="4" t="s">
        <v>39</v>
      </c>
      <c r="I153" s="4"/>
      <c r="J153" s="4"/>
      <c r="K153" s="4"/>
    </row>
    <row r="154" spans="1:11">
      <c r="A154" s="4" t="s">
        <v>262</v>
      </c>
      <c r="B154" s="5">
        <v>46087</v>
      </c>
      <c r="C154" s="4" t="s">
        <v>61</v>
      </c>
      <c r="D154" s="4" t="s">
        <v>50</v>
      </c>
      <c r="E154" s="4" t="s">
        <v>29</v>
      </c>
      <c r="F154" s="6">
        <v>-37902.8</v>
      </c>
      <c r="G154" s="4" t="s">
        <v>164</v>
      </c>
      <c r="H154" s="4" t="s">
        <v>31</v>
      </c>
      <c r="I154" s="4"/>
      <c r="J154" s="4"/>
      <c r="K154" s="4"/>
    </row>
    <row r="155" spans="1:11">
      <c r="A155" s="4" t="s">
        <v>263</v>
      </c>
      <c r="B155" s="5">
        <v>46083</v>
      </c>
      <c r="C155" s="4" t="s">
        <v>61</v>
      </c>
      <c r="D155" s="4" t="s">
        <v>50</v>
      </c>
      <c r="E155" s="4" t="s">
        <v>58</v>
      </c>
      <c r="F155" s="6">
        <v>-17177.29</v>
      </c>
      <c r="G155" s="4" t="s">
        <v>125</v>
      </c>
      <c r="H155" s="4" t="s">
        <v>31</v>
      </c>
      <c r="I155" s="4"/>
      <c r="J155" s="4"/>
      <c r="K155" s="4"/>
    </row>
    <row r="156" spans="1:11">
      <c r="A156" s="4" t="s">
        <v>264</v>
      </c>
      <c r="B156" s="5">
        <v>46063</v>
      </c>
      <c r="C156" s="4" t="s">
        <v>37</v>
      </c>
      <c r="D156" s="4" t="s">
        <v>41</v>
      </c>
      <c r="E156" s="4" t="s">
        <v>58</v>
      </c>
      <c r="F156" s="6">
        <v>-63506.43</v>
      </c>
      <c r="G156" s="4" t="s">
        <v>164</v>
      </c>
      <c r="H156" s="4" t="s">
        <v>31</v>
      </c>
      <c r="I156" s="4"/>
      <c r="J156" s="4"/>
      <c r="K156" s="4"/>
    </row>
    <row r="157" spans="1:11">
      <c r="A157" s="4" t="s">
        <v>265</v>
      </c>
      <c r="B157" s="5">
        <v>46121</v>
      </c>
      <c r="C157" s="4" t="s">
        <v>47</v>
      </c>
      <c r="D157" s="4" t="s">
        <v>50</v>
      </c>
      <c r="E157" s="4" t="s">
        <v>55</v>
      </c>
      <c r="F157" s="6">
        <v>-48838.56</v>
      </c>
      <c r="G157" s="4" t="s">
        <v>59</v>
      </c>
      <c r="H157" s="4" t="s">
        <v>39</v>
      </c>
      <c r="I157" s="4"/>
      <c r="J157" s="4"/>
      <c r="K157" s="4"/>
    </row>
    <row r="158" spans="1:11">
      <c r="A158" s="4" t="s">
        <v>266</v>
      </c>
      <c r="B158" s="5">
        <v>46188</v>
      </c>
      <c r="C158" s="4" t="s">
        <v>27</v>
      </c>
      <c r="D158" s="4" t="s">
        <v>33</v>
      </c>
      <c r="E158" s="4" t="s">
        <v>34</v>
      </c>
      <c r="F158" s="6">
        <v>8261.58</v>
      </c>
      <c r="G158" s="4" t="s">
        <v>267</v>
      </c>
      <c r="H158" s="4" t="s">
        <v>31</v>
      </c>
      <c r="I158" s="4"/>
      <c r="J158" s="4"/>
      <c r="K158" s="4"/>
    </row>
    <row r="159" spans="1:11">
      <c r="A159" s="4" t="s">
        <v>268</v>
      </c>
      <c r="B159" s="5">
        <v>46124</v>
      </c>
      <c r="C159" s="4" t="s">
        <v>27</v>
      </c>
      <c r="D159" s="4" t="s">
        <v>28</v>
      </c>
      <c r="E159" s="4" t="s">
        <v>44</v>
      </c>
      <c r="F159" s="6">
        <v>62696.03</v>
      </c>
      <c r="G159" s="4" t="s">
        <v>253</v>
      </c>
      <c r="H159" s="4" t="s">
        <v>31</v>
      </c>
      <c r="I159" s="4"/>
      <c r="J159" s="4"/>
      <c r="K159" s="4"/>
    </row>
    <row r="160" spans="1:11">
      <c r="A160" s="4" t="s">
        <v>269</v>
      </c>
      <c r="B160" s="5">
        <v>46110</v>
      </c>
      <c r="C160" s="4" t="s">
        <v>37</v>
      </c>
      <c r="D160" s="4" t="s">
        <v>41</v>
      </c>
      <c r="E160" s="4" t="s">
        <v>55</v>
      </c>
      <c r="F160" s="6">
        <v>-60822.79</v>
      </c>
      <c r="G160" s="4" t="s">
        <v>71</v>
      </c>
      <c r="H160" s="4" t="s">
        <v>31</v>
      </c>
      <c r="I160" s="4"/>
      <c r="J160" s="4"/>
      <c r="K160" s="4"/>
    </row>
    <row r="161" spans="1:11">
      <c r="A161" s="4" t="s">
        <v>270</v>
      </c>
      <c r="B161" s="5">
        <v>46138</v>
      </c>
      <c r="C161" s="4" t="s">
        <v>37</v>
      </c>
      <c r="D161" s="4" t="s">
        <v>41</v>
      </c>
      <c r="E161" s="4" t="s">
        <v>58</v>
      </c>
      <c r="F161" s="6">
        <v>-43216.78</v>
      </c>
      <c r="G161" s="4" t="s">
        <v>62</v>
      </c>
      <c r="H161" s="4" t="s">
        <v>31</v>
      </c>
      <c r="I161" s="4"/>
      <c r="J161" s="4"/>
      <c r="K161" s="4"/>
    </row>
    <row r="162" spans="1:11">
      <c r="A162" s="4" t="s">
        <v>271</v>
      </c>
      <c r="B162" s="5">
        <v>46124</v>
      </c>
      <c r="C162" s="4" t="s">
        <v>61</v>
      </c>
      <c r="D162" s="4" t="s">
        <v>28</v>
      </c>
      <c r="E162" s="4" t="s">
        <v>58</v>
      </c>
      <c r="F162" s="6">
        <v>-50179.12</v>
      </c>
      <c r="G162" s="4" t="s">
        <v>142</v>
      </c>
      <c r="H162" s="4" t="s">
        <v>39</v>
      </c>
      <c r="I162" s="4"/>
      <c r="J162" s="4"/>
      <c r="K162" s="4"/>
    </row>
    <row r="163" spans="1:11">
      <c r="A163" s="4" t="s">
        <v>272</v>
      </c>
      <c r="B163" s="5">
        <v>46042</v>
      </c>
      <c r="C163" s="4" t="s">
        <v>47</v>
      </c>
      <c r="D163" s="4" t="s">
        <v>28</v>
      </c>
      <c r="E163" s="4" t="s">
        <v>44</v>
      </c>
      <c r="F163" s="6">
        <v>22125.49</v>
      </c>
      <c r="G163" s="4" t="s">
        <v>147</v>
      </c>
      <c r="H163" s="4" t="s">
        <v>39</v>
      </c>
      <c r="I163" s="4"/>
      <c r="J163" s="4"/>
      <c r="K163" s="4"/>
    </row>
    <row r="164" spans="1:11">
      <c r="A164" s="4" t="s">
        <v>273</v>
      </c>
      <c r="B164" s="5">
        <v>46110</v>
      </c>
      <c r="C164" s="4" t="s">
        <v>61</v>
      </c>
      <c r="D164" s="4" t="s">
        <v>50</v>
      </c>
      <c r="E164" s="4" t="s">
        <v>44</v>
      </c>
      <c r="F164" s="6">
        <v>13181.95</v>
      </c>
      <c r="G164" s="4" t="s">
        <v>274</v>
      </c>
      <c r="H164" s="4" t="s">
        <v>31</v>
      </c>
      <c r="I164" s="4"/>
      <c r="J164" s="4"/>
      <c r="K164" s="4"/>
    </row>
    <row r="165" spans="1:11">
      <c r="A165" s="4" t="s">
        <v>275</v>
      </c>
      <c r="B165" s="5">
        <v>46094</v>
      </c>
      <c r="C165" s="4" t="s">
        <v>61</v>
      </c>
      <c r="D165" s="4" t="s">
        <v>33</v>
      </c>
      <c r="E165" s="4" t="s">
        <v>29</v>
      </c>
      <c r="F165" s="6">
        <v>-25707</v>
      </c>
      <c r="G165" s="4" t="s">
        <v>73</v>
      </c>
      <c r="H165" s="4" t="s">
        <v>39</v>
      </c>
      <c r="I165" s="4"/>
      <c r="J165" s="4"/>
      <c r="K165" s="4"/>
    </row>
    <row r="166" spans="1:11">
      <c r="A166" s="4" t="s">
        <v>276</v>
      </c>
      <c r="B166" s="5">
        <v>46121</v>
      </c>
      <c r="C166" s="4" t="s">
        <v>37</v>
      </c>
      <c r="D166" s="4" t="s">
        <v>33</v>
      </c>
      <c r="E166" s="4" t="s">
        <v>29</v>
      </c>
      <c r="F166" s="6">
        <v>-28105.85</v>
      </c>
      <c r="G166" s="4" t="s">
        <v>106</v>
      </c>
      <c r="H166" s="4" t="s">
        <v>39</v>
      </c>
      <c r="I166" s="4"/>
      <c r="J166" s="4"/>
      <c r="K166" s="4"/>
    </row>
    <row r="167" spans="1:11">
      <c r="A167" s="4" t="s">
        <v>277</v>
      </c>
      <c r="B167" s="5">
        <v>46114</v>
      </c>
      <c r="C167" s="4" t="s">
        <v>27</v>
      </c>
      <c r="D167" s="4" t="s">
        <v>33</v>
      </c>
      <c r="E167" s="4" t="s">
        <v>58</v>
      </c>
      <c r="F167" s="6">
        <v>-29050.2</v>
      </c>
      <c r="G167" s="4" t="s">
        <v>59</v>
      </c>
      <c r="H167" s="4" t="s">
        <v>31</v>
      </c>
      <c r="I167" s="4"/>
      <c r="J167" s="4"/>
      <c r="K167" s="4"/>
    </row>
    <row r="168" spans="1:11">
      <c r="A168" s="4" t="s">
        <v>278</v>
      </c>
      <c r="B168" s="5">
        <v>46166</v>
      </c>
      <c r="C168" s="4" t="s">
        <v>61</v>
      </c>
      <c r="D168" s="4" t="s">
        <v>28</v>
      </c>
      <c r="E168" s="4" t="s">
        <v>29</v>
      </c>
      <c r="F168" s="6">
        <v>-54213.75</v>
      </c>
      <c r="G168" s="4" t="s">
        <v>62</v>
      </c>
      <c r="H168" s="4" t="s">
        <v>39</v>
      </c>
      <c r="I168" s="4"/>
      <c r="J168" s="4"/>
      <c r="K168" s="4"/>
    </row>
    <row r="169" spans="1:11">
      <c r="A169" s="4" t="s">
        <v>279</v>
      </c>
      <c r="B169" s="5">
        <v>46047</v>
      </c>
      <c r="C169" s="4" t="s">
        <v>37</v>
      </c>
      <c r="D169" s="4" t="s">
        <v>33</v>
      </c>
      <c r="E169" s="4" t="s">
        <v>29</v>
      </c>
      <c r="F169" s="6">
        <v>-38719.11</v>
      </c>
      <c r="G169" s="4" t="s">
        <v>73</v>
      </c>
      <c r="H169" s="4" t="s">
        <v>31</v>
      </c>
      <c r="I169" s="4"/>
      <c r="J169" s="4"/>
      <c r="K169" s="4"/>
    </row>
    <row r="170" spans="1:11">
      <c r="A170" s="4" t="s">
        <v>280</v>
      </c>
      <c r="B170" s="5">
        <v>46050</v>
      </c>
      <c r="C170" s="4" t="s">
        <v>61</v>
      </c>
      <c r="D170" s="4" t="s">
        <v>28</v>
      </c>
      <c r="E170" s="4" t="s">
        <v>58</v>
      </c>
      <c r="F170" s="6">
        <v>-12549.49</v>
      </c>
      <c r="G170" s="4" t="s">
        <v>142</v>
      </c>
      <c r="H170" s="4" t="s">
        <v>31</v>
      </c>
      <c r="I170" s="4"/>
      <c r="J170" s="4"/>
      <c r="K170" s="4"/>
    </row>
    <row r="171" spans="1:11">
      <c r="A171" s="4" t="s">
        <v>281</v>
      </c>
      <c r="B171" s="5">
        <v>46165</v>
      </c>
      <c r="C171" s="4" t="s">
        <v>37</v>
      </c>
      <c r="D171" s="4" t="s">
        <v>41</v>
      </c>
      <c r="E171" s="4" t="s">
        <v>34</v>
      </c>
      <c r="F171" s="6">
        <v>13517.14</v>
      </c>
      <c r="G171" s="4" t="s">
        <v>282</v>
      </c>
      <c r="H171" s="4" t="s">
        <v>31</v>
      </c>
      <c r="I171" s="4"/>
      <c r="J171" s="4"/>
      <c r="K171" s="4"/>
    </row>
    <row r="172" spans="1:11">
      <c r="A172" s="4" t="s">
        <v>283</v>
      </c>
      <c r="B172" s="5">
        <v>46034</v>
      </c>
      <c r="C172" s="4" t="s">
        <v>37</v>
      </c>
      <c r="D172" s="4" t="s">
        <v>33</v>
      </c>
      <c r="E172" s="4" t="s">
        <v>29</v>
      </c>
      <c r="F172" s="6">
        <v>-41798.25</v>
      </c>
      <c r="G172" s="4" t="s">
        <v>100</v>
      </c>
      <c r="H172" s="4" t="s">
        <v>31</v>
      </c>
      <c r="I172" s="4"/>
      <c r="J172" s="4"/>
      <c r="K172" s="4"/>
    </row>
    <row r="173" spans="1:11">
      <c r="A173" s="4" t="s">
        <v>284</v>
      </c>
      <c r="B173" s="5">
        <v>46167</v>
      </c>
      <c r="C173" s="4" t="s">
        <v>37</v>
      </c>
      <c r="D173" s="4" t="s">
        <v>41</v>
      </c>
      <c r="E173" s="4" t="s">
        <v>29</v>
      </c>
      <c r="F173" s="6">
        <v>-8231.290000000001</v>
      </c>
      <c r="G173" s="4" t="s">
        <v>97</v>
      </c>
      <c r="H173" s="4" t="s">
        <v>31</v>
      </c>
      <c r="I173" s="4"/>
      <c r="J173" s="4"/>
      <c r="K173" s="4"/>
    </row>
    <row r="174" spans="1:11">
      <c r="A174" s="4" t="s">
        <v>285</v>
      </c>
      <c r="B174" s="5">
        <v>46149</v>
      </c>
      <c r="C174" s="4" t="s">
        <v>27</v>
      </c>
      <c r="D174" s="4" t="s">
        <v>28</v>
      </c>
      <c r="E174" s="4" t="s">
        <v>38</v>
      </c>
      <c r="F174" s="6">
        <v>-47119.68</v>
      </c>
      <c r="G174" s="4" t="s">
        <v>97</v>
      </c>
      <c r="H174" s="4" t="s">
        <v>39</v>
      </c>
      <c r="I174" s="4"/>
      <c r="J174" s="4"/>
      <c r="K174" s="4"/>
    </row>
    <row r="175" spans="1:11">
      <c r="A175" s="4" t="s">
        <v>286</v>
      </c>
      <c r="B175" s="5">
        <v>46185</v>
      </c>
      <c r="C175" s="4" t="s">
        <v>47</v>
      </c>
      <c r="D175" s="4" t="s">
        <v>50</v>
      </c>
      <c r="E175" s="4" t="s">
        <v>55</v>
      </c>
      <c r="F175" s="6">
        <v>-52231.17</v>
      </c>
      <c r="G175" s="4" t="s">
        <v>164</v>
      </c>
      <c r="H175" s="4" t="s">
        <v>31</v>
      </c>
      <c r="I175" s="4"/>
      <c r="J175" s="4"/>
      <c r="K175" s="4"/>
    </row>
    <row r="176" spans="1:11">
      <c r="A176" s="4" t="s">
        <v>287</v>
      </c>
      <c r="B176" s="5">
        <v>46028</v>
      </c>
      <c r="C176" s="4" t="s">
        <v>27</v>
      </c>
      <c r="D176" s="4" t="s">
        <v>50</v>
      </c>
      <c r="E176" s="4" t="s">
        <v>29</v>
      </c>
      <c r="F176" s="6">
        <v>-8888.360000000001</v>
      </c>
      <c r="G176" s="4" t="s">
        <v>102</v>
      </c>
      <c r="H176" s="4" t="s">
        <v>39</v>
      </c>
      <c r="I176" s="4"/>
      <c r="J176" s="4"/>
      <c r="K176" s="4"/>
    </row>
    <row r="177" spans="1:11">
      <c r="A177" s="4" t="s">
        <v>288</v>
      </c>
      <c r="B177" s="5">
        <v>46051</v>
      </c>
      <c r="C177" s="4" t="s">
        <v>37</v>
      </c>
      <c r="D177" s="4" t="s">
        <v>50</v>
      </c>
      <c r="E177" s="4" t="s">
        <v>29</v>
      </c>
      <c r="F177" s="6">
        <v>-32222.78</v>
      </c>
      <c r="G177" s="4" t="s">
        <v>113</v>
      </c>
      <c r="H177" s="4" t="s">
        <v>31</v>
      </c>
      <c r="I177" s="4"/>
      <c r="J177" s="4"/>
      <c r="K177" s="4"/>
    </row>
    <row r="178" spans="1:11">
      <c r="A178" s="4" t="s">
        <v>289</v>
      </c>
      <c r="B178" s="5">
        <v>46116</v>
      </c>
      <c r="C178" s="4" t="s">
        <v>37</v>
      </c>
      <c r="D178" s="4" t="s">
        <v>28</v>
      </c>
      <c r="E178" s="4" t="s">
        <v>34</v>
      </c>
      <c r="F178" s="6">
        <v>49523.6</v>
      </c>
      <c r="G178" s="4" t="s">
        <v>290</v>
      </c>
      <c r="H178" s="4" t="s">
        <v>39</v>
      </c>
      <c r="I178" s="4"/>
      <c r="J178" s="4"/>
      <c r="K178" s="4"/>
    </row>
    <row r="179" spans="1:11">
      <c r="A179" s="4" t="s">
        <v>291</v>
      </c>
      <c r="B179" s="5">
        <v>46057</v>
      </c>
      <c r="C179" s="4" t="s">
        <v>47</v>
      </c>
      <c r="D179" s="4" t="s">
        <v>41</v>
      </c>
      <c r="E179" s="4" t="s">
        <v>58</v>
      </c>
      <c r="F179" s="6">
        <v>-63747.45</v>
      </c>
      <c r="G179" s="4" t="s">
        <v>59</v>
      </c>
      <c r="H179" s="4" t="s">
        <v>31</v>
      </c>
      <c r="I179" s="4"/>
      <c r="J179" s="4"/>
      <c r="K179" s="4"/>
    </row>
    <row r="180" spans="1:11">
      <c r="A180" s="4" t="s">
        <v>292</v>
      </c>
      <c r="B180" s="5">
        <v>46192</v>
      </c>
      <c r="C180" s="4" t="s">
        <v>37</v>
      </c>
      <c r="D180" s="4" t="s">
        <v>41</v>
      </c>
      <c r="E180" s="4" t="s">
        <v>44</v>
      </c>
      <c r="F180" s="6">
        <v>28914.01</v>
      </c>
      <c r="G180" s="4" t="s">
        <v>293</v>
      </c>
      <c r="H180" s="4" t="s">
        <v>31</v>
      </c>
      <c r="I180" s="4"/>
      <c r="J180" s="4"/>
      <c r="K180" s="4"/>
    </row>
    <row r="181" spans="1:11">
      <c r="A181" s="4" t="s">
        <v>294</v>
      </c>
      <c r="B181" s="5">
        <v>46050</v>
      </c>
      <c r="C181" s="4" t="s">
        <v>37</v>
      </c>
      <c r="D181" s="4" t="s">
        <v>50</v>
      </c>
      <c r="E181" s="4" t="s">
        <v>44</v>
      </c>
      <c r="F181" s="6">
        <v>37685.28</v>
      </c>
      <c r="G181" s="4" t="s">
        <v>295</v>
      </c>
      <c r="H181" s="4" t="s">
        <v>31</v>
      </c>
      <c r="I181" s="4"/>
      <c r="J181" s="4"/>
      <c r="K181" s="4"/>
    </row>
  </sheetData>
  <conditionalFormatting sqref="I2:K181">
    <cfRule type="containsText" dxfId="0" priority="1" operator="containsText" text="ERROR">
      <formula>NOT(ISERROR(SEARCH("ERROR",I2)))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2.7109375" customWidth="1"/>
    <col min="3" max="3" width="24.7109375" customWidth="1"/>
  </cols>
  <sheetData>
    <row r="1" spans="1:3" ht="30" customHeight="1">
      <c r="A1" s="1" t="s">
        <v>296</v>
      </c>
    </row>
    <row r="3" spans="1:3">
      <c r="A3" s="7" t="s">
        <v>297</v>
      </c>
      <c r="B3" s="7" t="s">
        <v>298</v>
      </c>
      <c r="C3" s="7" t="s">
        <v>299</v>
      </c>
    </row>
    <row r="4" spans="1:3">
      <c r="A4" s="4" t="s">
        <v>300</v>
      </c>
      <c r="B4" s="4">
        <f>COUNTA(Transactions!A2:A181)</f>
        <v>180</v>
      </c>
      <c r="C4" s="4">
        <v>180</v>
      </c>
    </row>
    <row r="5" spans="1:3">
      <c r="A5" s="4" t="s">
        <v>301</v>
      </c>
      <c r="B5" s="4">
        <f>COUNTIF(Transactions!J2:J181,"DUPLICATE")</f>
        <v>0</v>
      </c>
      <c r="C5" s="4">
        <v>0</v>
      </c>
    </row>
    <row r="6" spans="1:3">
      <c r="A6" s="4" t="s">
        <v>302</v>
      </c>
      <c r="B6" s="4">
        <f>COUNTIF(Transactions!I2:I181,"ERROR")</f>
        <v>0</v>
      </c>
      <c r="C6" s="4">
        <v>0</v>
      </c>
    </row>
    <row r="7" spans="1:3">
      <c r="A7" s="4" t="s">
        <v>303</v>
      </c>
      <c r="B7" s="4">
        <f>COUNTIF(Transactions!K2:K181,"CHECK")</f>
        <v>0</v>
      </c>
      <c r="C7" s="4">
        <v>0</v>
      </c>
    </row>
    <row r="8" spans="1:3">
      <c r="A8" s="4" t="s">
        <v>304</v>
      </c>
      <c r="B8" s="6">
        <f>SUMIFS(Transactions!F2:F181,Transactions!E2:E181,"4*")</f>
        <v>2143470.17</v>
      </c>
      <c r="C8" s="6">
        <v>2143470.17</v>
      </c>
    </row>
    <row r="9" spans="1:3">
      <c r="A9" s="4" t="s">
        <v>305</v>
      </c>
      <c r="B9" s="6">
        <f>SUMIFS(Transactions!F2:F181,Transactions!E2:E181,"&lt;&gt;4*")</f>
        <v>-4383720.38</v>
      </c>
      <c r="C9" s="6">
        <v>-4383720.38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Transactions</vt:lpstr>
      <vt:lpstr>Quality &amp; 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